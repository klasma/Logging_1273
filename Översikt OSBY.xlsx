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46315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46315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46315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46315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46315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46315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46315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46315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46315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46315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46315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46315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46315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22036-2026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46315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5.4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Entita
Spillkråka</t>
        </is>
      </c>
      <c r="W15">
        <f>HYPERLINK("https://klasma.github.io/Logging_1273/artfynd/A 22036-2026 artfynd.xlsx", "A 22036-2026")</f>
        <v/>
      </c>
      <c r="X15">
        <f>HYPERLINK("https://klasma.github.io/Logging_1273/kartor/A 22036-2026 karta.png", "A 22036-2026")</f>
        <v/>
      </c>
      <c r="Y15">
        <f>HYPERLINK("https://klasma.github.io/Logging_1273/kartor_geotiff/A 22036-2026 georefererad karta.tif", "A 22036-2026")</f>
        <v/>
      </c>
      <c r="AA15">
        <f>HYPERLINK("https://klasma.github.io/Logging_1273/klagomål/A 22036-2026 FSC-klagomål.docx", "A 22036-2026")</f>
        <v/>
      </c>
      <c r="AB15">
        <f>HYPERLINK("https://klasma.github.io/Logging_1273/klagomålsmail/A 22036-2026 FSC-klagomål mail.docx", "A 22036-2026")</f>
        <v/>
      </c>
      <c r="AC15">
        <f>HYPERLINK("https://klasma.github.io/Logging_1273/tillsyn/A 22036-2026 tillsynsbegäran.docx", "A 22036-2026")</f>
        <v/>
      </c>
      <c r="AD15">
        <f>HYPERLINK("https://klasma.github.io/Logging_1273/tillsynsmail/A 22036-2026 tillsynsbegäran mail.docx", "A 22036-2026")</f>
        <v/>
      </c>
      <c r="AE15">
        <f>HYPERLINK("https://klasma.github.io/Logging_1273/fåglar/A 22036-2026 prioriterade fågelarter.docx", "A 22036-2026")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46315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46315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46315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46315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40546-2026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46295</v>
      </c>
      <c r="E20" s="1" t="n">
        <v>46315</v>
      </c>
      <c r="F20" t="inlineStr">
        <is>
          <t>SKÅNE LÄN</t>
        </is>
      </c>
      <c r="G20" t="inlineStr">
        <is>
          <t>OSBY</t>
        </is>
      </c>
      <c r="I20" t="n">
        <v>3.6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Spillkråka</t>
        </is>
      </c>
      <c r="W20">
        <f>HYPERLINK("https://klasma.github.io/Logging_1273/artfynd/A 40546-2026 artfynd.xlsx", "A 40546-2026")</f>
        <v/>
      </c>
      <c r="X20">
        <f>HYPERLINK("https://klasma.github.io/Logging_1273/kartor/A 40546-2026 karta.png", "A 40546-2026")</f>
        <v/>
      </c>
      <c r="Y20">
        <f>HYPERLINK("https://klasma.github.io/Logging_1273/kartor_geotiff/A 40546-2026 georefererad karta.tif", "A 40546-2026")</f>
        <v/>
      </c>
      <c r="Z20">
        <f>HYPERLINK("https://klasma.github.io/Logging_1273/knärot/A 40546-2026 karta knärot.png", "A 40546-2026")</f>
        <v/>
      </c>
      <c r="AA20">
        <f>HYPERLINK("https://klasma.github.io/Logging_1273/klagomål/A 40546-2026 FSC-klagomål.docx", "A 40546-2026")</f>
        <v/>
      </c>
      <c r="AB20">
        <f>HYPERLINK("https://klasma.github.io/Logging_1273/klagomålsmail/A 40546-2026 FSC-klagomål mail.docx", "A 40546-2026")</f>
        <v/>
      </c>
      <c r="AC20">
        <f>HYPERLINK("https://klasma.github.io/Logging_1273/tillsyn/A 40546-2026 tillsynsbegäran.docx", "A 40546-2026")</f>
        <v/>
      </c>
      <c r="AD20">
        <f>HYPERLINK("https://klasma.github.io/Logging_1273/tillsynsmail/A 40546-2026 tillsynsbegäran mail.docx", "A 40546-2026")</f>
        <v/>
      </c>
      <c r="AE20">
        <f>HYPERLINK("https://klasma.github.io/Logging_1273/fåglar/A 40546-2026 prioriterade fågelarter.docx", "A 40546-2026")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46315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46315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46315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46315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46315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46315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46315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46315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46315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61517-2022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46315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4.4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HYPERLINK("https://klasma.github.io/Logging_1273/artfynd/A 61517-2022 artfynd.xlsx", "A 61517-2022")</f>
        <v/>
      </c>
      <c r="X30">
        <f>HYPERLINK("https://klasma.github.io/Logging_1273/kartor/A 61517-2022 karta.png", "A 61517-2022")</f>
        <v/>
      </c>
      <c r="Y30">
        <f>HYPERLINK("https://klasma.github.io/Logging_1273/kartor_geotiff/A 61517-2022 georefererad karta.tif", "A 61517-2022")</f>
        <v/>
      </c>
      <c r="AA30">
        <f>HYPERLINK("https://klasma.github.io/Logging_1273/klagomål/A 61517-2022 FSC-klagomål.docx", "A 61517-2022")</f>
        <v/>
      </c>
      <c r="AB30">
        <f>HYPERLINK("https://klasma.github.io/Logging_1273/klagomålsmail/A 61517-2022 FSC-klagomål mail.docx", "A 61517-2022")</f>
        <v/>
      </c>
      <c r="AC30">
        <f>HYPERLINK("https://klasma.github.io/Logging_1273/tillsyn/A 61517-2022 tillsynsbegäran.docx", "A 61517-2022")</f>
        <v/>
      </c>
      <c r="AD30">
        <f>HYPERLINK("https://klasma.github.io/Logging_1273/tillsynsmail/A 61517-2022 tillsynsbegäran mail.docx", "A 61517-2022")</f>
        <v/>
      </c>
    </row>
    <row r="31" ht="15" customHeight="1">
      <c r="A31" t="inlineStr">
        <is>
          <t>A 24720-2025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46315</v>
      </c>
      <c r="F31" t="inlineStr">
        <is>
          <t>SKÅNE LÄN</t>
        </is>
      </c>
      <c r="G31" t="inlineStr">
        <is>
          <t>OSBY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HYPERLINK("https://klasma.github.io/Logging_1273/artfynd/A 24720-2025 artfynd.xlsx", "A 24720-2025")</f>
        <v/>
      </c>
      <c r="X31">
        <f>HYPERLINK("https://klasma.github.io/Logging_1273/kartor/A 24720-2025 karta.png", "A 24720-2025")</f>
        <v/>
      </c>
      <c r="Y31">
        <f>HYPERLINK("https://klasma.github.io/Logging_1273/kartor_geotiff/A 24720-2025 georefererad karta.tif", "A 24720-2025")</f>
        <v/>
      </c>
      <c r="AA31">
        <f>HYPERLINK("https://klasma.github.io/Logging_1273/klagomål/A 24720-2025 FSC-klagomål.docx", "A 24720-2025")</f>
        <v/>
      </c>
      <c r="AB31">
        <f>HYPERLINK("https://klasma.github.io/Logging_1273/klagomålsmail/A 24720-2025 FSC-klagomål mail.docx", "A 24720-2025")</f>
        <v/>
      </c>
      <c r="AC31">
        <f>HYPERLINK("https://klasma.github.io/Logging_1273/tillsyn/A 24720-2025 tillsynsbegäran.docx", "A 24720-2025")</f>
        <v/>
      </c>
      <c r="AD31">
        <f>HYPERLINK("https://klasma.github.io/Logging_1273/tillsynsmail/A 24720-2025 tillsynsbegäran mail.docx", "A 24720-2025")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46315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46315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50741-2023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46315</v>
      </c>
      <c r="F34" t="inlineStr">
        <is>
          <t>SKÅNE LÄN</t>
        </is>
      </c>
      <c r="G34" t="inlineStr">
        <is>
          <t>OSBY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HYPERLINK("https://klasma.github.io/Logging_1273/artfynd/A 50741-2023 artfynd.xlsx", "A 50741-2023")</f>
        <v/>
      </c>
      <c r="X34">
        <f>HYPERLINK("https://klasma.github.io/Logging_1273/kartor/A 50741-2023 karta.png", "A 50741-2023")</f>
        <v/>
      </c>
      <c r="Y34">
        <f>HYPERLINK("https://klasma.github.io/Logging_1273/kartor_geotiff/A 50741-2023 georefererad karta.tif", "A 50741-2023")</f>
        <v/>
      </c>
      <c r="AA34">
        <f>HYPERLINK("https://klasma.github.io/Logging_1273/klagomål/A 50741-2023 FSC-klagomål.docx", "A 50741-2023")</f>
        <v/>
      </c>
      <c r="AB34">
        <f>HYPERLINK("https://klasma.github.io/Logging_1273/klagomålsmail/A 50741-2023 FSC-klagomål mail.docx", "A 50741-2023")</f>
        <v/>
      </c>
      <c r="AC34">
        <f>HYPERLINK("https://klasma.github.io/Logging_1273/tillsyn/A 50741-2023 tillsynsbegäran.docx", "A 50741-2023")</f>
        <v/>
      </c>
      <c r="AD34">
        <f>HYPERLINK("https://klasma.github.io/Logging_1273/tillsynsmail/A 50741-2023 tillsynsbegäran mail.docx", "A 50741-2023")</f>
        <v/>
      </c>
    </row>
    <row r="35" ht="15" customHeight="1">
      <c r="A35" t="inlineStr">
        <is>
          <t>A 46477-2025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45925</v>
      </c>
      <c r="E35" s="1" t="n">
        <v>46315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HYPERLINK("https://klasma.github.io/Logging_1273/artfynd/A 46477-2025 artfynd.xlsx", "A 46477-2025")</f>
        <v/>
      </c>
      <c r="X35">
        <f>HYPERLINK("https://klasma.github.io/Logging_1273/kartor/A 46477-2025 karta.png", "A 46477-2025")</f>
        <v/>
      </c>
      <c r="Y35">
        <f>HYPERLINK("https://klasma.github.io/Logging_1273/kartor_geotiff/A 46477-2025 georefererad karta.tif", "A 46477-2025")</f>
        <v/>
      </c>
      <c r="AA35">
        <f>HYPERLINK("https://klasma.github.io/Logging_1273/klagomål/A 46477-2025 FSC-klagomål.docx", "A 46477-2025")</f>
        <v/>
      </c>
      <c r="AB35">
        <f>HYPERLINK("https://klasma.github.io/Logging_1273/klagomålsmail/A 46477-2025 FSC-klagomål mail.docx", "A 46477-2025")</f>
        <v/>
      </c>
      <c r="AC35">
        <f>HYPERLINK("https://klasma.github.io/Logging_1273/tillsyn/A 46477-2025 tillsynsbegäran.docx", "A 46477-2025")</f>
        <v/>
      </c>
      <c r="AD35">
        <f>HYPERLINK("https://klasma.github.io/Logging_1273/tillsynsmail/A 46477-2025 tillsynsbegäran mail.docx", "A 46477-2025")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46315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46315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13143-2023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46315</v>
      </c>
      <c r="F38" t="inlineStr">
        <is>
          <t>SKÅNE LÄN</t>
        </is>
      </c>
      <c r="G38" t="inlineStr">
        <is>
          <t>OSBY</t>
        </is>
      </c>
      <c r="I38" t="n">
        <v>13.5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HYPERLINK("https://klasma.github.io/Logging_1273/artfynd/A 13143-2023 artfynd.xlsx", "A 13143-2023")</f>
        <v/>
      </c>
      <c r="X38">
        <f>HYPERLINK("https://klasma.github.io/Logging_1273/kartor/A 13143-2023 karta.png", "A 13143-2023")</f>
        <v/>
      </c>
      <c r="Y38">
        <f>HYPERLINK("https://klasma.github.io/Logging_1273/kartor_geotiff/A 13143-2023 georefererad karta.tif", "A 13143-2023")</f>
        <v/>
      </c>
      <c r="AA38">
        <f>HYPERLINK("https://klasma.github.io/Logging_1273/klagomål/A 13143-2023 FSC-klagomål.docx", "A 13143-2023")</f>
        <v/>
      </c>
      <c r="AB38">
        <f>HYPERLINK("https://klasma.github.io/Logging_1273/klagomålsmail/A 13143-2023 FSC-klagomål mail.docx", "A 13143-2023")</f>
        <v/>
      </c>
      <c r="AC38">
        <f>HYPERLINK("https://klasma.github.io/Logging_1273/tillsyn/A 13143-2023 tillsynsbegäran.docx", "A 13143-2023")</f>
        <v/>
      </c>
      <c r="AD38">
        <f>HYPERLINK("https://klasma.github.io/Logging_1273/tillsynsmail/A 13143-2023 tillsynsbegäran mail.docx", "A 13143-2023")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46315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60983-2025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45999</v>
      </c>
      <c r="E40" s="1" t="n">
        <v>46315</v>
      </c>
      <c r="F40" t="inlineStr">
        <is>
          <t>SKÅNE LÄN</t>
        </is>
      </c>
      <c r="G40" t="inlineStr">
        <is>
          <t>OSBY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HYPERLINK("https://klasma.github.io/Logging_1273/artfynd/A 60983-2025 artfynd.xlsx", "A 60983-2025")</f>
        <v/>
      </c>
      <c r="X40">
        <f>HYPERLINK("https://klasma.github.io/Logging_1273/kartor/A 60983-2025 karta.png", "A 60983-2025")</f>
        <v/>
      </c>
      <c r="Y40">
        <f>HYPERLINK("https://klasma.github.io/Logging_1273/kartor_geotiff/A 60983-2025 georefererad karta.tif", "A 60983-2025")</f>
        <v/>
      </c>
      <c r="AA40">
        <f>HYPERLINK("https://klasma.github.io/Logging_1273/klagomål/A 60983-2025 FSC-klagomål.docx", "A 60983-2025")</f>
        <v/>
      </c>
      <c r="AB40">
        <f>HYPERLINK("https://klasma.github.io/Logging_1273/klagomålsmail/A 60983-2025 FSC-klagomål mail.docx", "A 60983-2025")</f>
        <v/>
      </c>
      <c r="AC40">
        <f>HYPERLINK("https://klasma.github.io/Logging_1273/tillsyn/A 60983-2025 tillsynsbegäran.docx", "A 60983-2025")</f>
        <v/>
      </c>
      <c r="AD40">
        <f>HYPERLINK("https://klasma.github.io/Logging_1273/tillsynsmail/A 60983-2025 tillsynsbegäran mail.docx", "A 60983-2025")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46315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46315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46315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31722-2023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46315</v>
      </c>
      <c r="F44" t="inlineStr">
        <is>
          <t>SKÅNE LÄN</t>
        </is>
      </c>
      <c r="G44" t="inlineStr">
        <is>
          <t>OSBY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Klockgentiana</t>
        </is>
      </c>
      <c r="W44">
        <f>HYPERLINK("https://klasma.github.io/Logging_1273/artfynd/A 31722-2023 artfynd.xlsx", "A 31722-2023")</f>
        <v/>
      </c>
      <c r="X44">
        <f>HYPERLINK("https://klasma.github.io/Logging_1273/kartor/A 31722-2023 karta.png", "A 31722-2023")</f>
        <v/>
      </c>
      <c r="Y44">
        <f>HYPERLINK("https://klasma.github.io/Logging_1273/kartor_geotiff/A 31722-2023 georefererad karta.tif", "A 31722-2023")</f>
        <v/>
      </c>
      <c r="AA44">
        <f>HYPERLINK("https://klasma.github.io/Logging_1273/klagomål/A 31722-2023 FSC-klagomål.docx", "A 31722-2023")</f>
        <v/>
      </c>
      <c r="AB44">
        <f>HYPERLINK("https://klasma.github.io/Logging_1273/klagomålsmail/A 31722-2023 FSC-klagomål mail.docx", "A 31722-2023")</f>
        <v/>
      </c>
      <c r="AC44">
        <f>HYPERLINK("https://klasma.github.io/Logging_1273/tillsyn/A 31722-2023 tillsynsbegäran.docx", "A 31722-2023")</f>
        <v/>
      </c>
      <c r="AD44">
        <f>HYPERLINK("https://klasma.github.io/Logging_1273/tillsynsmail/A 31722-2023 tillsynsbegäran mail.docx", "A 31722-2023")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46315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Skogsduva</t>
        </is>
      </c>
      <c r="W45">
        <f>HYPERLINK("https://klasma.github.io/Logging_1273/artfynd/A 26457-2026 artfynd.xlsx", "A 26457-2026")</f>
        <v/>
      </c>
      <c r="X45">
        <f>HYPERLINK("https://klasma.github.io/Logging_1273/kartor/A 26457-2026 karta.png", "A 26457-2026")</f>
        <v/>
      </c>
      <c r="Y45">
        <f>HYPERLINK("https://klasma.github.io/Logging_1273/kartor_geotiff/A 26457-2026 georefererad karta.tif", "A 26457-2026")</f>
        <v/>
      </c>
      <c r="AA45">
        <f>HYPERLINK("https://klasma.github.io/Logging_1273/klagomål/A 26457-2026 FSC-klagomål.docx", "A 26457-2026")</f>
        <v/>
      </c>
      <c r="AB45">
        <f>HYPERLINK("https://klasma.github.io/Logging_1273/klagomålsmail/A 26457-2026 FSC-klagomål mail.docx", "A 26457-2026")</f>
        <v/>
      </c>
      <c r="AC45">
        <f>HYPERLINK("https://klasma.github.io/Logging_1273/tillsyn/A 26457-2026 tillsynsbegäran.docx", "A 26457-2026")</f>
        <v/>
      </c>
      <c r="AD45">
        <f>HYPERLINK("https://klasma.github.io/Logging_1273/tillsynsmail/A 26457-2026 tillsynsbegäran mail.docx", "A 26457-2026")</f>
        <v/>
      </c>
    </row>
    <row r="46" ht="15" customHeight="1">
      <c r="A46" t="inlineStr">
        <is>
          <t>A 20227-2022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44698</v>
      </c>
      <c r="E46" s="1" t="n">
        <v>46315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7.1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Havsörn</t>
        </is>
      </c>
      <c r="W46">
        <f>HYPERLINK("https://klasma.github.io/Logging_1273/artfynd/A 20227-2022 artfynd.xlsx", "A 20227-2022")</f>
        <v/>
      </c>
      <c r="X46">
        <f>HYPERLINK("https://klasma.github.io/Logging_1273/kartor/A 20227-2022 karta.png", "A 20227-2022")</f>
        <v/>
      </c>
      <c r="Y46">
        <f>HYPERLINK("https://klasma.github.io/Logging_1273/kartor_geotiff/A 20227-2022 georefererad karta.tif", "A 20227-2022")</f>
        <v/>
      </c>
      <c r="AA46">
        <f>HYPERLINK("https://klasma.github.io/Logging_1273/klagomål/A 20227-2022 FSC-klagomål.docx", "A 20227-2022")</f>
        <v/>
      </c>
      <c r="AB46">
        <f>HYPERLINK("https://klasma.github.io/Logging_1273/klagomålsmail/A 20227-2022 FSC-klagomål mail.docx", "A 20227-2022")</f>
        <v/>
      </c>
      <c r="AC46">
        <f>HYPERLINK("https://klasma.github.io/Logging_1273/tillsyn/A 20227-2022 tillsynsbegäran.docx", "A 20227-2022")</f>
        <v/>
      </c>
      <c r="AD46">
        <f>HYPERLINK("https://klasma.github.io/Logging_1273/tillsynsmail/A 20227-2022 tillsynsbegäran mail.docx", "A 20227-2022")</f>
        <v/>
      </c>
      <c r="AE46">
        <f>HYPERLINK("https://klasma.github.io/Logging_1273/fåglar/A 20227-2022 prioriterade fågelarter.docx", "A 20227-2022")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46315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37500-2026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46315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8.4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HYPERLINK("https://klasma.github.io/Logging_1273/artfynd/A 37500-2026 artfynd.xlsx", "A 37500-2026")</f>
        <v/>
      </c>
      <c r="X48">
        <f>HYPERLINK("https://klasma.github.io/Logging_1273/kartor/A 37500-2026 karta.png", "A 37500-2026")</f>
        <v/>
      </c>
      <c r="Y48">
        <f>HYPERLINK("https://klasma.github.io/Logging_1273/kartor_geotiff/A 37500-2026 georefererad karta.tif", "A 37500-2026")</f>
        <v/>
      </c>
      <c r="AA48">
        <f>HYPERLINK("https://klasma.github.io/Logging_1273/klagomål/A 37500-2026 FSC-klagomål.docx", "A 37500-2026")</f>
        <v/>
      </c>
      <c r="AB48">
        <f>HYPERLINK("https://klasma.github.io/Logging_1273/klagomålsmail/A 37500-2026 FSC-klagomål mail.docx", "A 37500-2026")</f>
        <v/>
      </c>
      <c r="AC48">
        <f>HYPERLINK("https://klasma.github.io/Logging_1273/tillsyn/A 37500-2026 tillsynsbegäran.docx", "A 37500-2026")</f>
        <v/>
      </c>
      <c r="AD48">
        <f>HYPERLINK("https://klasma.github.io/Logging_1273/tillsynsmail/A 37500-2026 tillsynsbegäran mail.docx", "A 37500-2026")</f>
        <v/>
      </c>
    </row>
    <row r="49" ht="15" customHeight="1">
      <c r="A49" t="inlineStr">
        <is>
          <t>A 16837-2023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46315</v>
      </c>
      <c r="F49" t="inlineStr">
        <is>
          <t>SKÅNE LÄN</t>
        </is>
      </c>
      <c r="G49" t="inlineStr">
        <is>
          <t>OSBY</t>
        </is>
      </c>
      <c r="I49" t="n">
        <v>0.7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HYPERLINK("https://klasma.github.io/Logging_1273/artfynd/A 16837-2023 artfynd.xlsx", "A 16837-2023")</f>
        <v/>
      </c>
      <c r="X49">
        <f>HYPERLINK("https://klasma.github.io/Logging_1273/kartor/A 16837-2023 karta.png", "A 16837-2023")</f>
        <v/>
      </c>
      <c r="Y49">
        <f>HYPERLINK("https://klasma.github.io/Logging_1273/kartor_geotiff/A 16837-2023 georefererad karta.tif", "A 16837-2023")</f>
        <v/>
      </c>
      <c r="AA49">
        <f>HYPERLINK("https://klasma.github.io/Logging_1273/klagomål/A 16837-2023 FSC-klagomål.docx", "A 16837-2023")</f>
        <v/>
      </c>
      <c r="AB49">
        <f>HYPERLINK("https://klasma.github.io/Logging_1273/klagomålsmail/A 16837-2023 FSC-klagomål mail.docx", "A 16837-2023")</f>
        <v/>
      </c>
      <c r="AC49">
        <f>HYPERLINK("https://klasma.github.io/Logging_1273/tillsyn/A 16837-2023 tillsynsbegäran.docx", "A 16837-2023")</f>
        <v/>
      </c>
      <c r="AD49">
        <f>HYPERLINK("https://klasma.github.io/Logging_1273/tillsynsmail/A 16837-2023 tillsynsbegäran mail.docx", "A 16837-2023")</f>
        <v/>
      </c>
      <c r="AE49">
        <f>HYPERLINK("https://klasma.github.io/Logging_1273/fåglar/A 16837-2023 prioriterade fågelarter.docx", "A 16837-2023")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46315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46315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46315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46315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46315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46315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46315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46315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46315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46315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46315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46315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46315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46315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46315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46315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46315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46315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46315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46315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46315</v>
      </c>
      <c r="F70" t="inlineStr">
        <is>
          <t>SKÅNE LÄN</t>
        </is>
      </c>
      <c r="G70" t="inlineStr">
        <is>
          <t>OSBY</t>
        </is>
      </c>
      <c r="H70" t="inlineStr">
        <is>
          <t>Kyrkan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44694</v>
      </c>
      <c r="E71" s="1" t="n">
        <v>46315</v>
      </c>
      <c r="F71" t="inlineStr">
        <is>
          <t>SKÅNE LÄN</t>
        </is>
      </c>
      <c r="G71" t="inlineStr">
        <is>
          <t>OSBY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46315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46315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46315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46315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46315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46315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46315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46315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46315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46315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46315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46315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46315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46315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46315</v>
      </c>
      <c r="F86" t="inlineStr">
        <is>
          <t>SKÅNE LÄN</t>
        </is>
      </c>
      <c r="G86" t="inlineStr">
        <is>
          <t>OSBY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44731</v>
      </c>
      <c r="E87" s="1" t="n">
        <v>46315</v>
      </c>
      <c r="F87" t="inlineStr">
        <is>
          <t>SKÅNE LÄN</t>
        </is>
      </c>
      <c r="G87" t="inlineStr">
        <is>
          <t>OSBY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46315</v>
      </c>
      <c r="F88" t="inlineStr">
        <is>
          <t>SKÅNE LÄN</t>
        </is>
      </c>
      <c r="G88" t="inlineStr">
        <is>
          <t>OSBY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46315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46315</v>
      </c>
      <c r="F90" t="inlineStr">
        <is>
          <t>SKÅNE LÄN</t>
        </is>
      </c>
      <c r="G90" t="inlineStr">
        <is>
          <t>OSBY</t>
        </is>
      </c>
      <c r="H90" t="inlineStr">
        <is>
          <t>Kyrkan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46315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46315</v>
      </c>
      <c r="F92" t="inlineStr">
        <is>
          <t>SKÅNE LÄN</t>
        </is>
      </c>
      <c r="G92" t="inlineStr">
        <is>
          <t>OSBY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46315</v>
      </c>
      <c r="F93" t="inlineStr">
        <is>
          <t>SKÅNE LÄN</t>
        </is>
      </c>
      <c r="G93" t="inlineStr">
        <is>
          <t>OSBY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46315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46315</v>
      </c>
      <c r="F95" t="inlineStr">
        <is>
          <t>SKÅNE LÄN</t>
        </is>
      </c>
      <c r="G95" t="inlineStr">
        <is>
          <t>OSBY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46315</v>
      </c>
      <c r="F96" t="inlineStr">
        <is>
          <t>SKÅNE LÄN</t>
        </is>
      </c>
      <c r="G96" t="inlineStr">
        <is>
          <t>OSBY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46315</v>
      </c>
      <c r="F97" t="inlineStr">
        <is>
          <t>SKÅNE LÄN</t>
        </is>
      </c>
      <c r="G97" t="inlineStr">
        <is>
          <t>OSBY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73920-2021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44553</v>
      </c>
      <c r="E98" s="1" t="n">
        <v>46315</v>
      </c>
      <c r="F98" t="inlineStr">
        <is>
          <t>SKÅNE LÄN</t>
        </is>
      </c>
      <c r="G98" t="inlineStr">
        <is>
          <t>OSBY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44614</v>
      </c>
      <c r="E99" s="1" t="n">
        <v>46315</v>
      </c>
      <c r="F99" t="inlineStr">
        <is>
          <t>SKÅNE LÄN</t>
        </is>
      </c>
      <c r="G99" t="inlineStr">
        <is>
          <t>OSBY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46315</v>
      </c>
      <c r="F100" t="inlineStr">
        <is>
          <t>SKÅNE LÄN</t>
        </is>
      </c>
      <c r="G100" t="inlineStr">
        <is>
          <t>OSBY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44805</v>
      </c>
      <c r="E101" s="1" t="n">
        <v>46315</v>
      </c>
      <c r="F101" t="inlineStr">
        <is>
          <t>SKÅNE LÄN</t>
        </is>
      </c>
      <c r="G101" t="inlineStr">
        <is>
          <t>OSBY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46315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46315</v>
      </c>
      <c r="F103" t="inlineStr">
        <is>
          <t>SKÅNE LÄN</t>
        </is>
      </c>
      <c r="G103" t="inlineStr">
        <is>
          <t>OSBY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46315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46315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46315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44573</v>
      </c>
      <c r="E107" s="1" t="n">
        <v>46315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46315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46315</v>
      </c>
      <c r="F109" t="inlineStr">
        <is>
          <t>SKÅNE LÄN</t>
        </is>
      </c>
      <c r="G109" t="inlineStr">
        <is>
          <t>OSBY</t>
        </is>
      </c>
      <c r="H109" t="inlineStr">
        <is>
          <t>Kommuner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46315</v>
      </c>
      <c r="F110" t="inlineStr">
        <is>
          <t>SKÅNE LÄN</t>
        </is>
      </c>
      <c r="G110" t="inlineStr">
        <is>
          <t>OSBY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46315</v>
      </c>
      <c r="F111" t="inlineStr">
        <is>
          <t>SKÅNE LÄN</t>
        </is>
      </c>
      <c r="G111" t="inlineStr">
        <is>
          <t>OSBY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46315</v>
      </c>
      <c r="F112" t="inlineStr">
        <is>
          <t>SKÅNE LÄN</t>
        </is>
      </c>
      <c r="G112" t="inlineStr">
        <is>
          <t>OSBY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46315</v>
      </c>
      <c r="F113" t="inlineStr">
        <is>
          <t>SKÅNE LÄN</t>
        </is>
      </c>
      <c r="G113" t="inlineStr">
        <is>
          <t>OSBY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46315</v>
      </c>
      <c r="F114" t="inlineStr">
        <is>
          <t>SKÅNE LÄN</t>
        </is>
      </c>
      <c r="G114" t="inlineStr">
        <is>
          <t>OSBY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46315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46315</v>
      </c>
      <c r="F116" t="inlineStr">
        <is>
          <t>SKÅNE LÄN</t>
        </is>
      </c>
      <c r="G116" t="inlineStr">
        <is>
          <t>OSBY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46315</v>
      </c>
      <c r="F117" t="inlineStr">
        <is>
          <t>SKÅNE LÄN</t>
        </is>
      </c>
      <c r="G117" t="inlineStr">
        <is>
          <t>OSBY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46315</v>
      </c>
      <c r="F118" t="inlineStr">
        <is>
          <t>SKÅNE LÄN</t>
        </is>
      </c>
      <c r="G118" t="inlineStr">
        <is>
          <t>OSBY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44823</v>
      </c>
      <c r="E119" s="1" t="n">
        <v>46315</v>
      </c>
      <c r="F119" t="inlineStr">
        <is>
          <t>SKÅNE LÄN</t>
        </is>
      </c>
      <c r="G119" t="inlineStr">
        <is>
          <t>OSBY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46315</v>
      </c>
      <c r="F120" t="inlineStr">
        <is>
          <t>SKÅNE LÄN</t>
        </is>
      </c>
      <c r="G120" t="inlineStr">
        <is>
          <t>OSBY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46315</v>
      </c>
      <c r="F121" t="inlineStr">
        <is>
          <t>SKÅNE LÄN</t>
        </is>
      </c>
      <c r="G121" t="inlineStr">
        <is>
          <t>OSBY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45447</v>
      </c>
      <c r="E122" s="1" t="n">
        <v>46315</v>
      </c>
      <c r="F122" t="inlineStr">
        <is>
          <t>SKÅNE LÄN</t>
        </is>
      </c>
      <c r="G122" t="inlineStr">
        <is>
          <t>OSBY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74033-2021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44557</v>
      </c>
      <c r="E123" s="1" t="n">
        <v>46315</v>
      </c>
      <c r="F123" t="inlineStr">
        <is>
          <t>SKÅNE LÄN</t>
        </is>
      </c>
      <c r="G123" t="inlineStr">
        <is>
          <t>OSBY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74050-2021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46315</v>
      </c>
      <c r="F124" t="inlineStr">
        <is>
          <t>SKÅNE LÄN</t>
        </is>
      </c>
      <c r="G124" t="inlineStr">
        <is>
          <t>OSBY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46315</v>
      </c>
      <c r="F125" t="inlineStr">
        <is>
          <t>SKÅNE LÄN</t>
        </is>
      </c>
      <c r="G125" t="inlineStr">
        <is>
          <t>OSBY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46315</v>
      </c>
      <c r="F126" t="inlineStr">
        <is>
          <t>SKÅNE LÄN</t>
        </is>
      </c>
      <c r="G126" t="inlineStr">
        <is>
          <t>OSBY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46315</v>
      </c>
      <c r="F127" t="inlineStr">
        <is>
          <t>SKÅNE LÄN</t>
        </is>
      </c>
      <c r="G127" t="inlineStr">
        <is>
          <t>OSBY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46315</v>
      </c>
      <c r="F128" t="inlineStr">
        <is>
          <t>SKÅNE LÄN</t>
        </is>
      </c>
      <c r="G128" t="inlineStr">
        <is>
          <t>OSBY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66984-2021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46315</v>
      </c>
      <c r="F129" t="inlineStr">
        <is>
          <t>SKÅNE LÄN</t>
        </is>
      </c>
      <c r="G129" t="inlineStr">
        <is>
          <t>OSBY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45019</v>
      </c>
      <c r="E130" s="1" t="n">
        <v>46315</v>
      </c>
      <c r="F130" t="inlineStr">
        <is>
          <t>SKÅNE LÄN</t>
        </is>
      </c>
      <c r="G130" t="inlineStr">
        <is>
          <t>OSBY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46315</v>
      </c>
      <c r="F131" t="inlineStr">
        <is>
          <t>SKÅNE LÄN</t>
        </is>
      </c>
      <c r="G131" t="inlineStr">
        <is>
          <t>OSBY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45436</v>
      </c>
      <c r="E132" s="1" t="n">
        <v>46315</v>
      </c>
      <c r="F132" t="inlineStr">
        <is>
          <t>SKÅNE LÄN</t>
        </is>
      </c>
      <c r="G132" t="inlineStr">
        <is>
          <t>OSBY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45446</v>
      </c>
      <c r="E133" s="1" t="n">
        <v>46315</v>
      </c>
      <c r="F133" t="inlineStr">
        <is>
          <t>SKÅNE LÄN</t>
        </is>
      </c>
      <c r="G133" t="inlineStr">
        <is>
          <t>OSBY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46315</v>
      </c>
      <c r="F134" t="inlineStr">
        <is>
          <t>SKÅNE LÄN</t>
        </is>
      </c>
      <c r="G134" t="inlineStr">
        <is>
          <t>OSBY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44921</v>
      </c>
      <c r="E135" s="1" t="n">
        <v>46315</v>
      </c>
      <c r="F135" t="inlineStr">
        <is>
          <t>SKÅNE LÄN</t>
        </is>
      </c>
      <c r="G135" t="inlineStr">
        <is>
          <t>OSBY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46315</v>
      </c>
      <c r="F136" t="inlineStr">
        <is>
          <t>SKÅNE LÄN</t>
        </is>
      </c>
      <c r="G136" t="inlineStr">
        <is>
          <t>OSBY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46315</v>
      </c>
      <c r="F137" t="inlineStr">
        <is>
          <t>SKÅNE LÄN</t>
        </is>
      </c>
      <c r="G137" t="inlineStr">
        <is>
          <t>OSBY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46315</v>
      </c>
      <c r="F138" t="inlineStr">
        <is>
          <t>SKÅNE LÄN</t>
        </is>
      </c>
      <c r="G138" t="inlineStr">
        <is>
          <t>OSBY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8382-2022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46315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46315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46315</v>
      </c>
      <c r="F141" t="inlineStr">
        <is>
          <t>SKÅNE LÄN</t>
        </is>
      </c>
      <c r="G141" t="inlineStr">
        <is>
          <t>OSBY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46315</v>
      </c>
      <c r="F142" t="inlineStr">
        <is>
          <t>SKÅNE LÄN</t>
        </is>
      </c>
      <c r="G142" t="inlineStr">
        <is>
          <t>OSBY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46315</v>
      </c>
      <c r="F143" t="inlineStr">
        <is>
          <t>SKÅNE LÄN</t>
        </is>
      </c>
      <c r="G143" t="inlineStr">
        <is>
          <t>OSBY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46315</v>
      </c>
      <c r="F144" t="inlineStr">
        <is>
          <t>SKÅNE LÄN</t>
        </is>
      </c>
      <c r="G144" t="inlineStr">
        <is>
          <t>OSBY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46315</v>
      </c>
      <c r="F145" t="inlineStr">
        <is>
          <t>SKÅNE LÄN</t>
        </is>
      </c>
      <c r="G145" t="inlineStr">
        <is>
          <t>OSBY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69093-2021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46315</v>
      </c>
      <c r="F146" t="inlineStr">
        <is>
          <t>SKÅNE LÄN</t>
        </is>
      </c>
      <c r="G146" t="inlineStr">
        <is>
          <t>OSBY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46315</v>
      </c>
      <c r="F147" t="inlineStr">
        <is>
          <t>SKÅNE LÄN</t>
        </is>
      </c>
      <c r="G147" t="inlineStr">
        <is>
          <t>OSBY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46315</v>
      </c>
      <c r="F148" t="inlineStr">
        <is>
          <t>SKÅNE LÄN</t>
        </is>
      </c>
      <c r="G148" t="inlineStr">
        <is>
          <t>OSBY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45506</v>
      </c>
      <c r="E149" s="1" t="n">
        <v>46315</v>
      </c>
      <c r="F149" t="inlineStr">
        <is>
          <t>SKÅNE LÄN</t>
        </is>
      </c>
      <c r="G149" t="inlineStr">
        <is>
          <t>OSBY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44904</v>
      </c>
      <c r="E150" s="1" t="n">
        <v>46315</v>
      </c>
      <c r="F150" t="inlineStr">
        <is>
          <t>SKÅNE LÄN</t>
        </is>
      </c>
      <c r="G150" t="inlineStr">
        <is>
          <t>OSBY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10775-2024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45369</v>
      </c>
      <c r="E151" s="1" t="n">
        <v>46315</v>
      </c>
      <c r="F151" t="inlineStr">
        <is>
          <t>SKÅNE LÄN</t>
        </is>
      </c>
      <c r="G151" t="inlineStr">
        <is>
          <t>OSBY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46315</v>
      </c>
      <c r="F152" t="inlineStr">
        <is>
          <t>SKÅNE LÄN</t>
        </is>
      </c>
      <c r="G152" t="inlineStr">
        <is>
          <t>OSBY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46315</v>
      </c>
      <c r="F153" t="inlineStr">
        <is>
          <t>SKÅNE LÄN</t>
        </is>
      </c>
      <c r="G153" t="inlineStr">
        <is>
          <t>OSBY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46315</v>
      </c>
      <c r="F154" t="inlineStr">
        <is>
          <t>SKÅNE LÄN</t>
        </is>
      </c>
      <c r="G154" t="inlineStr">
        <is>
          <t>OSBY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67613-2021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44524</v>
      </c>
      <c r="E155" s="1" t="n">
        <v>46315</v>
      </c>
      <c r="F155" t="inlineStr">
        <is>
          <t>SKÅNE LÄN</t>
        </is>
      </c>
      <c r="G155" t="inlineStr">
        <is>
          <t>OSBY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46315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67616-2021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44524</v>
      </c>
      <c r="E157" s="1" t="n">
        <v>46315</v>
      </c>
      <c r="F157" t="inlineStr">
        <is>
          <t>SKÅNE LÄN</t>
        </is>
      </c>
      <c r="G157" t="inlineStr">
        <is>
          <t>OSBY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46315</v>
      </c>
      <c r="F158" t="inlineStr">
        <is>
          <t>SKÅNE LÄN</t>
        </is>
      </c>
      <c r="G158" t="inlineStr">
        <is>
          <t>OSBY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46315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46315</v>
      </c>
      <c r="F160" t="inlineStr">
        <is>
          <t>SKÅNE LÄN</t>
        </is>
      </c>
      <c r="G160" t="inlineStr">
        <is>
          <t>OSBY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44740</v>
      </c>
      <c r="E161" s="1" t="n">
        <v>46315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46315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45568</v>
      </c>
      <c r="E163" s="1" t="n">
        <v>46315</v>
      </c>
      <c r="F163" t="inlineStr">
        <is>
          <t>SKÅNE LÄN</t>
        </is>
      </c>
      <c r="G163" t="inlineStr">
        <is>
          <t>OSBY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45364</v>
      </c>
      <c r="E164" s="1" t="n">
        <v>46315</v>
      </c>
      <c r="F164" t="inlineStr">
        <is>
          <t>SKÅNE LÄN</t>
        </is>
      </c>
      <c r="G164" t="inlineStr">
        <is>
          <t>OSBY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46315</v>
      </c>
      <c r="F165" t="inlineStr">
        <is>
          <t>SKÅNE LÄN</t>
        </is>
      </c>
      <c r="G165" t="inlineStr">
        <is>
          <t>OSBY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46315</v>
      </c>
      <c r="F166" t="inlineStr">
        <is>
          <t>SKÅNE LÄN</t>
        </is>
      </c>
      <c r="G166" t="inlineStr">
        <is>
          <t>OSBY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44679</v>
      </c>
      <c r="E167" s="1" t="n">
        <v>46315</v>
      </c>
      <c r="F167" t="inlineStr">
        <is>
          <t>SKÅNE LÄN</t>
        </is>
      </c>
      <c r="G167" t="inlineStr">
        <is>
          <t>OSBY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46315</v>
      </c>
      <c r="F168" t="inlineStr">
        <is>
          <t>SKÅNE LÄN</t>
        </is>
      </c>
      <c r="G168" t="inlineStr">
        <is>
          <t>OSBY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46315</v>
      </c>
      <c r="F169" t="inlineStr">
        <is>
          <t>SKÅNE LÄN</t>
        </is>
      </c>
      <c r="G169" t="inlineStr">
        <is>
          <t>OSBY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46315</v>
      </c>
      <c r="F170" t="inlineStr">
        <is>
          <t>SKÅNE LÄN</t>
        </is>
      </c>
      <c r="G170" t="inlineStr">
        <is>
          <t>OSBY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45037</v>
      </c>
      <c r="E171" s="1" t="n">
        <v>46315</v>
      </c>
      <c r="F171" t="inlineStr">
        <is>
          <t>SKÅNE LÄN</t>
        </is>
      </c>
      <c r="G171" t="inlineStr">
        <is>
          <t>OSBY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25579-2024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45463</v>
      </c>
      <c r="E172" s="1" t="n">
        <v>46315</v>
      </c>
      <c r="F172" t="inlineStr">
        <is>
          <t>SKÅNE LÄN</t>
        </is>
      </c>
      <c r="G172" t="inlineStr">
        <is>
          <t>OSBY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46315</v>
      </c>
      <c r="F173" t="inlineStr">
        <is>
          <t>SKÅNE LÄN</t>
        </is>
      </c>
      <c r="G173" t="inlineStr">
        <is>
          <t>OSBY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46315</v>
      </c>
      <c r="F174" t="inlineStr">
        <is>
          <t>SKÅNE LÄN</t>
        </is>
      </c>
      <c r="G174" t="inlineStr">
        <is>
          <t>OSBY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58747-2024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45635</v>
      </c>
      <c r="E175" s="1" t="n">
        <v>46315</v>
      </c>
      <c r="F175" t="inlineStr">
        <is>
          <t>SKÅNE LÄN</t>
        </is>
      </c>
      <c r="G175" t="inlineStr">
        <is>
          <t>OSBY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44602</v>
      </c>
      <c r="E176" s="1" t="n">
        <v>46315</v>
      </c>
      <c r="F176" t="inlineStr">
        <is>
          <t>SKÅNE LÄN</t>
        </is>
      </c>
      <c r="G176" t="inlineStr">
        <is>
          <t>OSBY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46315</v>
      </c>
      <c r="F177" t="inlineStr">
        <is>
          <t>SKÅNE LÄN</t>
        </is>
      </c>
      <c r="G177" t="inlineStr">
        <is>
          <t>OSBY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51861-2024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45607</v>
      </c>
      <c r="E178" s="1" t="n">
        <v>46315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45483</v>
      </c>
      <c r="E179" s="1" t="n">
        <v>46315</v>
      </c>
      <c r="F179" t="inlineStr">
        <is>
          <t>SKÅNE LÄN</t>
        </is>
      </c>
      <c r="G179" t="inlineStr">
        <is>
          <t>OSBY</t>
        </is>
      </c>
      <c r="H179" t="inlineStr">
        <is>
          <t>Kommuner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44997</v>
      </c>
      <c r="E180" s="1" t="n">
        <v>46315</v>
      </c>
      <c r="F180" t="inlineStr">
        <is>
          <t>SKÅNE LÄN</t>
        </is>
      </c>
      <c r="G180" t="inlineStr">
        <is>
          <t>OSBY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45468</v>
      </c>
      <c r="E181" s="1" t="n">
        <v>46315</v>
      </c>
      <c r="F181" t="inlineStr">
        <is>
          <t>SKÅNE LÄN</t>
        </is>
      </c>
      <c r="G181" t="inlineStr">
        <is>
          <t>OSBY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45154</v>
      </c>
      <c r="E182" s="1" t="n">
        <v>46315</v>
      </c>
      <c r="F182" t="inlineStr">
        <is>
          <t>SKÅNE LÄN</t>
        </is>
      </c>
      <c r="G182" t="inlineStr">
        <is>
          <t>OSBY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46315</v>
      </c>
      <c r="F183" t="inlineStr">
        <is>
          <t>SKÅNE LÄN</t>
        </is>
      </c>
      <c r="G183" t="inlineStr">
        <is>
          <t>OSBY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44801</v>
      </c>
      <c r="E184" s="1" t="n">
        <v>46315</v>
      </c>
      <c r="F184" t="inlineStr">
        <is>
          <t>SKÅNE LÄN</t>
        </is>
      </c>
      <c r="G184" t="inlineStr">
        <is>
          <t>OSBY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46315</v>
      </c>
      <c r="F185" t="inlineStr">
        <is>
          <t>SKÅNE LÄN</t>
        </is>
      </c>
      <c r="G185" t="inlineStr">
        <is>
          <t>OSBY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46315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46315</v>
      </c>
      <c r="F187" t="inlineStr">
        <is>
          <t>SKÅNE LÄN</t>
        </is>
      </c>
      <c r="G187" t="inlineStr">
        <is>
          <t>OSBY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46315</v>
      </c>
      <c r="F188" t="inlineStr">
        <is>
          <t>SKÅNE LÄN</t>
        </is>
      </c>
      <c r="G188" t="inlineStr">
        <is>
          <t>OSBY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44757</v>
      </c>
      <c r="E189" s="1" t="n">
        <v>46315</v>
      </c>
      <c r="F189" t="inlineStr">
        <is>
          <t>SKÅNE LÄN</t>
        </is>
      </c>
      <c r="G189" t="inlineStr">
        <is>
          <t>OSBY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46315</v>
      </c>
      <c r="F190" t="inlineStr">
        <is>
          <t>SKÅNE LÄN</t>
        </is>
      </c>
      <c r="G190" t="inlineStr">
        <is>
          <t>OSBY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45191-2024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46315</v>
      </c>
      <c r="F191" t="inlineStr">
        <is>
          <t>SKÅNE LÄN</t>
        </is>
      </c>
      <c r="G191" t="inlineStr">
        <is>
          <t>OSBY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45605</v>
      </c>
      <c r="E192" s="1" t="n">
        <v>46315</v>
      </c>
      <c r="F192" t="inlineStr">
        <is>
          <t>SKÅNE LÄN</t>
        </is>
      </c>
      <c r="G192" t="inlineStr">
        <is>
          <t>OSBY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45605</v>
      </c>
      <c r="E193" s="1" t="n">
        <v>46315</v>
      </c>
      <c r="F193" t="inlineStr">
        <is>
          <t>SKÅNE LÄN</t>
        </is>
      </c>
      <c r="G193" t="inlineStr">
        <is>
          <t>OSBY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46315</v>
      </c>
      <c r="F194" t="inlineStr">
        <is>
          <t>SKÅNE LÄN</t>
        </is>
      </c>
      <c r="G194" t="inlineStr">
        <is>
          <t>OSBY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46315</v>
      </c>
      <c r="F195" t="inlineStr">
        <is>
          <t>SKÅNE LÄN</t>
        </is>
      </c>
      <c r="G195" t="inlineStr">
        <is>
          <t>OSBY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46315</v>
      </c>
      <c r="F196" t="inlineStr">
        <is>
          <t>SKÅNE LÄN</t>
        </is>
      </c>
      <c r="G196" t="inlineStr">
        <is>
          <t>OSBY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63077-2021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46315</v>
      </c>
      <c r="F197" t="inlineStr">
        <is>
          <t>SKÅNE LÄN</t>
        </is>
      </c>
      <c r="G197" t="inlineStr">
        <is>
          <t>OSBY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46315</v>
      </c>
      <c r="F198" t="inlineStr">
        <is>
          <t>SKÅNE LÄN</t>
        </is>
      </c>
      <c r="G198" t="inlineStr">
        <is>
          <t>OSBY</t>
        </is>
      </c>
      <c r="H198" t="inlineStr">
        <is>
          <t>Kyrkan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45733</v>
      </c>
      <c r="E199" s="1" t="n">
        <v>46315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46315</v>
      </c>
      <c r="F200" t="inlineStr">
        <is>
          <t>SKÅNE LÄN</t>
        </is>
      </c>
      <c r="G200" t="inlineStr">
        <is>
          <t>OSBY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46315</v>
      </c>
      <c r="F201" t="inlineStr">
        <is>
          <t>SKÅNE LÄN</t>
        </is>
      </c>
      <c r="G201" t="inlineStr">
        <is>
          <t>OSBY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46315</v>
      </c>
      <c r="F202" t="inlineStr">
        <is>
          <t>SKÅNE LÄN</t>
        </is>
      </c>
      <c r="G202" t="inlineStr">
        <is>
          <t>OSBY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45714</v>
      </c>
      <c r="E203" s="1" t="n">
        <v>46315</v>
      </c>
      <c r="F203" t="inlineStr">
        <is>
          <t>SKÅNE LÄN</t>
        </is>
      </c>
      <c r="G203" t="inlineStr">
        <is>
          <t>OSBY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46315</v>
      </c>
      <c r="F204" t="inlineStr">
        <is>
          <t>SKÅNE LÄN</t>
        </is>
      </c>
      <c r="G204" t="inlineStr">
        <is>
          <t>OSBY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45677</v>
      </c>
      <c r="E205" s="1" t="n">
        <v>46315</v>
      </c>
      <c r="F205" t="inlineStr">
        <is>
          <t>SKÅNE LÄN</t>
        </is>
      </c>
      <c r="G205" t="inlineStr">
        <is>
          <t>OSBY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46315</v>
      </c>
      <c r="F206" t="inlineStr">
        <is>
          <t>SKÅNE LÄN</t>
        </is>
      </c>
      <c r="G206" t="inlineStr">
        <is>
          <t>OSBY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46315</v>
      </c>
      <c r="F207" t="inlineStr">
        <is>
          <t>SKÅNE LÄN</t>
        </is>
      </c>
      <c r="G207" t="inlineStr">
        <is>
          <t>OSBY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46315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46315</v>
      </c>
      <c r="F209" t="inlineStr">
        <is>
          <t>SKÅNE LÄN</t>
        </is>
      </c>
      <c r="G209" t="inlineStr">
        <is>
          <t>OSBY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46315</v>
      </c>
      <c r="F210" t="inlineStr">
        <is>
          <t>SKÅNE LÄN</t>
        </is>
      </c>
      <c r="G210" t="inlineStr">
        <is>
          <t>OSBY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46315</v>
      </c>
      <c r="F211" t="inlineStr">
        <is>
          <t>SKÅNE LÄN</t>
        </is>
      </c>
      <c r="G211" t="inlineStr">
        <is>
          <t>OSBY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46315</v>
      </c>
      <c r="F212" t="inlineStr">
        <is>
          <t>SKÅNE LÄN</t>
        </is>
      </c>
      <c r="G212" t="inlineStr">
        <is>
          <t>OSBY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46315</v>
      </c>
      <c r="F213" t="inlineStr">
        <is>
          <t>SKÅNE LÄN</t>
        </is>
      </c>
      <c r="G213" t="inlineStr">
        <is>
          <t>OSBY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46315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46315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46315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44746</v>
      </c>
      <c r="E217" s="1" t="n">
        <v>46315</v>
      </c>
      <c r="F217" t="inlineStr">
        <is>
          <t>SKÅNE LÄN</t>
        </is>
      </c>
      <c r="G217" t="inlineStr">
        <is>
          <t>OSBY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46315</v>
      </c>
      <c r="F218" t="inlineStr">
        <is>
          <t>SKÅNE LÄN</t>
        </is>
      </c>
      <c r="G218" t="inlineStr">
        <is>
          <t>OSBY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46315</v>
      </c>
      <c r="F219" t="inlineStr">
        <is>
          <t>SKÅNE LÄN</t>
        </is>
      </c>
      <c r="G219" t="inlineStr">
        <is>
          <t>OSBY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46315</v>
      </c>
      <c r="F220" t="inlineStr">
        <is>
          <t>SKÅNE LÄN</t>
        </is>
      </c>
      <c r="G220" t="inlineStr">
        <is>
          <t>OSBY</t>
        </is>
      </c>
      <c r="H220" t="inlineStr">
        <is>
          <t>Kommuner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45730</v>
      </c>
      <c r="E221" s="1" t="n">
        <v>46315</v>
      </c>
      <c r="F221" t="inlineStr">
        <is>
          <t>SKÅNE LÄN</t>
        </is>
      </c>
      <c r="G221" t="inlineStr">
        <is>
          <t>OSBY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45503</v>
      </c>
      <c r="E222" s="1" t="n">
        <v>46315</v>
      </c>
      <c r="F222" t="inlineStr">
        <is>
          <t>SKÅNE LÄN</t>
        </is>
      </c>
      <c r="G222" t="inlineStr">
        <is>
          <t>OSBY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45255</v>
      </c>
      <c r="E223" s="1" t="n">
        <v>46315</v>
      </c>
      <c r="F223" t="inlineStr">
        <is>
          <t>SKÅNE LÄN</t>
        </is>
      </c>
      <c r="G223" t="inlineStr">
        <is>
          <t>OSBY</t>
        </is>
      </c>
      <c r="I223" t="n">
        <v>15.6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46315</v>
      </c>
      <c r="F224" t="inlineStr">
        <is>
          <t>SKÅNE LÄN</t>
        </is>
      </c>
      <c r="G224" t="inlineStr">
        <is>
          <t>OSBY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46315</v>
      </c>
      <c r="F225" t="inlineStr">
        <is>
          <t>SKÅNE LÄN</t>
        </is>
      </c>
      <c r="G225" t="inlineStr">
        <is>
          <t>OSBY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46315</v>
      </c>
      <c r="F226" t="inlineStr">
        <is>
          <t>SKÅNE LÄN</t>
        </is>
      </c>
      <c r="G226" t="inlineStr">
        <is>
          <t>OSBY</t>
        </is>
      </c>
      <c r="H226" t="inlineStr">
        <is>
          <t>Kommuner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46315</v>
      </c>
      <c r="F227" t="inlineStr">
        <is>
          <t>SKÅNE LÄN</t>
        </is>
      </c>
      <c r="G227" t="inlineStr">
        <is>
          <t>OSBY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46315</v>
      </c>
      <c r="F228" t="inlineStr">
        <is>
          <t>SKÅNE LÄN</t>
        </is>
      </c>
      <c r="G228" t="inlineStr">
        <is>
          <t>OSBY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46315</v>
      </c>
      <c r="F229" t="inlineStr">
        <is>
          <t>SKÅNE LÄN</t>
        </is>
      </c>
      <c r="G229" t="inlineStr">
        <is>
          <t>OSBY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46315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44838</v>
      </c>
      <c r="E231" s="1" t="n">
        <v>46315</v>
      </c>
      <c r="F231" t="inlineStr">
        <is>
          <t>SKÅNE LÄN</t>
        </is>
      </c>
      <c r="G231" t="inlineStr">
        <is>
          <t>OSBY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46315</v>
      </c>
      <c r="F232" t="inlineStr">
        <is>
          <t>SKÅNE LÄN</t>
        </is>
      </c>
      <c r="G232" t="inlineStr">
        <is>
          <t>OSBY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45195</v>
      </c>
      <c r="E233" s="1" t="n">
        <v>46315</v>
      </c>
      <c r="F233" t="inlineStr">
        <is>
          <t>SKÅNE LÄN</t>
        </is>
      </c>
      <c r="G233" t="inlineStr">
        <is>
          <t>OSBY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46315</v>
      </c>
      <c r="F234" t="inlineStr">
        <is>
          <t>SKÅNE LÄN</t>
        </is>
      </c>
      <c r="G234" t="inlineStr">
        <is>
          <t>OSBY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44790</v>
      </c>
      <c r="E235" s="1" t="n">
        <v>46315</v>
      </c>
      <c r="F235" t="inlineStr">
        <is>
          <t>SKÅNE LÄN</t>
        </is>
      </c>
      <c r="G235" t="inlineStr">
        <is>
          <t>OSBY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46315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46315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45036</v>
      </c>
      <c r="E238" s="1" t="n">
        <v>46315</v>
      </c>
      <c r="F238" t="inlineStr">
        <is>
          <t>SKÅNE LÄN</t>
        </is>
      </c>
      <c r="G238" t="inlineStr">
        <is>
          <t>OSBY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46315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44910</v>
      </c>
      <c r="E240" s="1" t="n">
        <v>46315</v>
      </c>
      <c r="F240" t="inlineStr">
        <is>
          <t>SKÅNE LÄN</t>
        </is>
      </c>
      <c r="G240" t="inlineStr">
        <is>
          <t>OSBY</t>
        </is>
      </c>
      <c r="H240" t="inlineStr">
        <is>
          <t>Kyrkan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46315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45255</v>
      </c>
      <c r="E242" s="1" t="n">
        <v>46315</v>
      </c>
      <c r="F242" t="inlineStr">
        <is>
          <t>SKÅNE LÄN</t>
        </is>
      </c>
      <c r="G242" t="inlineStr">
        <is>
          <t>OSBY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45259</v>
      </c>
      <c r="E243" s="1" t="n">
        <v>46315</v>
      </c>
      <c r="F243" t="inlineStr">
        <is>
          <t>SKÅNE LÄN</t>
        </is>
      </c>
      <c r="G243" t="inlineStr">
        <is>
          <t>OSBY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45117</v>
      </c>
      <c r="E244" s="1" t="n">
        <v>46315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57990-2022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46315</v>
      </c>
      <c r="F245" t="inlineStr">
        <is>
          <t>SKÅNE LÄN</t>
        </is>
      </c>
      <c r="G245" t="inlineStr">
        <is>
          <t>OSBY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44749</v>
      </c>
      <c r="E246" s="1" t="n">
        <v>46315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45259</v>
      </c>
      <c r="E247" s="1" t="n">
        <v>46315</v>
      </c>
      <c r="F247" t="inlineStr">
        <is>
          <t>SKÅNE LÄN</t>
        </is>
      </c>
      <c r="G247" t="inlineStr">
        <is>
          <t>OSBY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46315</v>
      </c>
      <c r="F248" t="inlineStr">
        <is>
          <t>SKÅNE LÄN</t>
        </is>
      </c>
      <c r="G248" t="inlineStr">
        <is>
          <t>OSBY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45733</v>
      </c>
      <c r="E249" s="1" t="n">
        <v>46315</v>
      </c>
      <c r="F249" t="inlineStr">
        <is>
          <t>SKÅNE LÄN</t>
        </is>
      </c>
      <c r="G249" t="inlineStr">
        <is>
          <t>OSBY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57222-2022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46315</v>
      </c>
      <c r="F250" t="inlineStr">
        <is>
          <t>SKÅNE LÄN</t>
        </is>
      </c>
      <c r="G250" t="inlineStr">
        <is>
          <t>OSBY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46315</v>
      </c>
      <c r="F251" t="inlineStr">
        <is>
          <t>SKÅNE LÄN</t>
        </is>
      </c>
      <c r="G251" t="inlineStr">
        <is>
          <t>OSBY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44826</v>
      </c>
      <c r="E252" s="1" t="n">
        <v>46315</v>
      </c>
      <c r="F252" t="inlineStr">
        <is>
          <t>SKÅNE LÄN</t>
        </is>
      </c>
      <c r="G252" t="inlineStr">
        <is>
          <t>OSBY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46315</v>
      </c>
      <c r="F253" t="inlineStr">
        <is>
          <t>SKÅNE LÄN</t>
        </is>
      </c>
      <c r="G253" t="inlineStr">
        <is>
          <t>OSBY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46315</v>
      </c>
      <c r="F254" t="inlineStr">
        <is>
          <t>SKÅNE LÄN</t>
        </is>
      </c>
      <c r="G254" t="inlineStr">
        <is>
          <t>OSBY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46315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46315</v>
      </c>
      <c r="F256" t="inlineStr">
        <is>
          <t>SKÅNE LÄN</t>
        </is>
      </c>
      <c r="G256" t="inlineStr">
        <is>
          <t>OSBY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46315</v>
      </c>
      <c r="F257" t="inlineStr">
        <is>
          <t>SKÅNE LÄN</t>
        </is>
      </c>
      <c r="G257" t="inlineStr">
        <is>
          <t>OSBY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46315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46315</v>
      </c>
      <c r="F259" t="inlineStr">
        <is>
          <t>SKÅNE LÄN</t>
        </is>
      </c>
      <c r="G259" t="inlineStr">
        <is>
          <t>OSBY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46315</v>
      </c>
      <c r="F260" t="inlineStr">
        <is>
          <t>SKÅNE LÄN</t>
        </is>
      </c>
      <c r="G260" t="inlineStr">
        <is>
          <t>OSBY</t>
        </is>
      </c>
      <c r="H260" t="inlineStr">
        <is>
          <t>Kyrkan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52857-2022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44872</v>
      </c>
      <c r="E261" s="1" t="n">
        <v>46315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46315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46315</v>
      </c>
      <c r="F263" t="inlineStr">
        <is>
          <t>SKÅNE LÄN</t>
        </is>
      </c>
      <c r="G263" t="inlineStr">
        <is>
          <t>OSBY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46315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46155</v>
      </c>
      <c r="E265" s="1" t="n">
        <v>46315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46315</v>
      </c>
      <c r="F266" t="inlineStr">
        <is>
          <t>SKÅNE LÄN</t>
        </is>
      </c>
      <c r="G266" t="inlineStr">
        <is>
          <t>OSBY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44921</v>
      </c>
      <c r="E267" s="1" t="n">
        <v>46315</v>
      </c>
      <c r="F267" t="inlineStr">
        <is>
          <t>SKÅNE LÄN</t>
        </is>
      </c>
      <c r="G267" t="inlineStr">
        <is>
          <t>OSBY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46315</v>
      </c>
      <c r="F268" t="inlineStr">
        <is>
          <t>SKÅNE LÄN</t>
        </is>
      </c>
      <c r="G268" t="inlineStr">
        <is>
          <t>OSBY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46315</v>
      </c>
      <c r="F269" t="inlineStr">
        <is>
          <t>SKÅNE LÄN</t>
        </is>
      </c>
      <c r="G269" t="inlineStr">
        <is>
          <t>OSBY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46315</v>
      </c>
      <c r="F270" t="inlineStr">
        <is>
          <t>SKÅNE LÄN</t>
        </is>
      </c>
      <c r="G270" t="inlineStr">
        <is>
          <t>OSBY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55389-2023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45238</v>
      </c>
      <c r="E271" s="1" t="n">
        <v>46315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46315</v>
      </c>
      <c r="F272" t="inlineStr">
        <is>
          <t>SKÅNE LÄN</t>
        </is>
      </c>
      <c r="G272" t="inlineStr">
        <is>
          <t>OSBY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45015</v>
      </c>
      <c r="E273" s="1" t="n">
        <v>46315</v>
      </c>
      <c r="F273" t="inlineStr">
        <is>
          <t>SKÅNE LÄN</t>
        </is>
      </c>
      <c r="G273" t="inlineStr">
        <is>
          <t>OSBY</t>
        </is>
      </c>
      <c r="H273" t="inlineStr">
        <is>
          <t>Naturvårdsverket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45082</v>
      </c>
      <c r="E274" s="1" t="n">
        <v>46315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46315</v>
      </c>
      <c r="F275" t="inlineStr">
        <is>
          <t>SKÅNE LÄN</t>
        </is>
      </c>
      <c r="G275" t="inlineStr">
        <is>
          <t>OSBY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45141</v>
      </c>
      <c r="E276" s="1" t="n">
        <v>46315</v>
      </c>
      <c r="F276" t="inlineStr">
        <is>
          <t>SKÅNE LÄN</t>
        </is>
      </c>
      <c r="G276" t="inlineStr">
        <is>
          <t>OSBY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46315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46315</v>
      </c>
      <c r="F278" t="inlineStr">
        <is>
          <t>SKÅNE LÄN</t>
        </is>
      </c>
      <c r="G278" t="inlineStr">
        <is>
          <t>OSBY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46315</v>
      </c>
      <c r="F279" t="inlineStr">
        <is>
          <t>SKÅNE LÄN</t>
        </is>
      </c>
      <c r="G279" t="inlineStr">
        <is>
          <t>OSBY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45002</v>
      </c>
      <c r="E280" s="1" t="n">
        <v>46315</v>
      </c>
      <c r="F280" t="inlineStr">
        <is>
          <t>SKÅNE LÄN</t>
        </is>
      </c>
      <c r="G280" t="inlineStr">
        <is>
          <t>OSBY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46315</v>
      </c>
      <c r="F281" t="inlineStr">
        <is>
          <t>SKÅNE LÄN</t>
        </is>
      </c>
      <c r="G281" t="inlineStr">
        <is>
          <t>OSBY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46315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45078</v>
      </c>
      <c r="E283" s="1" t="n">
        <v>46315</v>
      </c>
      <c r="F283" t="inlineStr">
        <is>
          <t>SKÅNE LÄN</t>
        </is>
      </c>
      <c r="G283" t="inlineStr">
        <is>
          <t>OSBY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45078</v>
      </c>
      <c r="E284" s="1" t="n">
        <v>46315</v>
      </c>
      <c r="F284" t="inlineStr">
        <is>
          <t>SKÅNE LÄN</t>
        </is>
      </c>
      <c r="G284" t="inlineStr">
        <is>
          <t>OSBY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46315</v>
      </c>
      <c r="F285" t="inlineStr">
        <is>
          <t>SKÅNE LÄN</t>
        </is>
      </c>
      <c r="G285" t="inlineStr">
        <is>
          <t>OSBY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74016-2021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44557</v>
      </c>
      <c r="E286" s="1" t="n">
        <v>46315</v>
      </c>
      <c r="F286" t="inlineStr">
        <is>
          <t>SKÅNE LÄN</t>
        </is>
      </c>
      <c r="G286" t="inlineStr">
        <is>
          <t>OSBY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45982</v>
      </c>
      <c r="E287" s="1" t="n">
        <v>46315</v>
      </c>
      <c r="F287" t="inlineStr">
        <is>
          <t>SKÅNE LÄN</t>
        </is>
      </c>
      <c r="G287" t="inlineStr">
        <is>
          <t>OSBY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46315</v>
      </c>
      <c r="F288" t="inlineStr">
        <is>
          <t>SKÅNE LÄN</t>
        </is>
      </c>
      <c r="G288" t="inlineStr">
        <is>
          <t>OSBY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64469-2021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44511</v>
      </c>
      <c r="E289" s="1" t="n">
        <v>46315</v>
      </c>
      <c r="F289" t="inlineStr">
        <is>
          <t>SKÅNE LÄN</t>
        </is>
      </c>
      <c r="G289" t="inlineStr">
        <is>
          <t>OSBY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68592-2021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44529</v>
      </c>
      <c r="E290" s="1" t="n">
        <v>46315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45520</v>
      </c>
      <c r="E291" s="1" t="n">
        <v>46315</v>
      </c>
      <c r="F291" t="inlineStr">
        <is>
          <t>SKÅNE LÄN</t>
        </is>
      </c>
      <c r="G291" t="inlineStr">
        <is>
          <t>OSBY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46315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46315</v>
      </c>
      <c r="F293" t="inlineStr">
        <is>
          <t>SKÅNE LÄN</t>
        </is>
      </c>
      <c r="G293" t="inlineStr">
        <is>
          <t>OSBY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46315</v>
      </c>
      <c r="F294" t="inlineStr">
        <is>
          <t>SKÅNE LÄN</t>
        </is>
      </c>
      <c r="G294" t="inlineStr">
        <is>
          <t>OSBY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46315</v>
      </c>
      <c r="F295" t="inlineStr">
        <is>
          <t>SKÅNE LÄN</t>
        </is>
      </c>
      <c r="G295" t="inlineStr">
        <is>
          <t>OSBY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44867</v>
      </c>
      <c r="E296" s="1" t="n">
        <v>46315</v>
      </c>
      <c r="F296" t="inlineStr">
        <is>
          <t>SKÅNE LÄN</t>
        </is>
      </c>
      <c r="G296" t="inlineStr">
        <is>
          <t>OSBY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45996</v>
      </c>
      <c r="E297" s="1" t="n">
        <v>46315</v>
      </c>
      <c r="F297" t="inlineStr">
        <is>
          <t>SKÅNE LÄN</t>
        </is>
      </c>
      <c r="G297" t="inlineStr">
        <is>
          <t>OSBY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46315</v>
      </c>
      <c r="F298" t="inlineStr">
        <is>
          <t>SKÅNE LÄN</t>
        </is>
      </c>
      <c r="G298" t="inlineStr">
        <is>
          <t>OSBY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45175</v>
      </c>
      <c r="E299" s="1" t="n">
        <v>46315</v>
      </c>
      <c r="F299" t="inlineStr">
        <is>
          <t>SKÅNE LÄN</t>
        </is>
      </c>
      <c r="G299" t="inlineStr">
        <is>
          <t>OSBY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45656</v>
      </c>
      <c r="E300" s="1" t="n">
        <v>46315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46315</v>
      </c>
      <c r="F301" t="inlineStr">
        <is>
          <t>SKÅNE LÄN</t>
        </is>
      </c>
      <c r="G301" t="inlineStr">
        <is>
          <t>OSBY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46315</v>
      </c>
      <c r="F302" t="inlineStr">
        <is>
          <t>SKÅNE LÄN</t>
        </is>
      </c>
      <c r="G302" t="inlineStr">
        <is>
          <t>OSBY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45643</v>
      </c>
      <c r="E303" s="1" t="n">
        <v>46315</v>
      </c>
      <c r="F303" t="inlineStr">
        <is>
          <t>SKÅNE LÄN</t>
        </is>
      </c>
      <c r="G303" t="inlineStr">
        <is>
          <t>OSBY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46315</v>
      </c>
      <c r="F304" t="inlineStr">
        <is>
          <t>SKÅNE LÄN</t>
        </is>
      </c>
      <c r="G304" t="inlineStr">
        <is>
          <t>OSBY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45011</v>
      </c>
      <c r="E305" s="1" t="n">
        <v>46315</v>
      </c>
      <c r="F305" t="inlineStr">
        <is>
          <t>SKÅNE LÄN</t>
        </is>
      </c>
      <c r="G305" t="inlineStr">
        <is>
          <t>OSBY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27005-2024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45471</v>
      </c>
      <c r="E306" s="1" t="n">
        <v>46315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44585</v>
      </c>
      <c r="E307" s="1" t="n">
        <v>46315</v>
      </c>
      <c r="F307" t="inlineStr">
        <is>
          <t>SKÅNE LÄN</t>
        </is>
      </c>
      <c r="G307" t="inlineStr">
        <is>
          <t>OSBY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46315</v>
      </c>
      <c r="F308" t="inlineStr">
        <is>
          <t>SKÅNE LÄN</t>
        </is>
      </c>
      <c r="G308" t="inlineStr">
        <is>
          <t>OSBY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46315</v>
      </c>
      <c r="F309" t="inlineStr">
        <is>
          <t>SKÅNE LÄN</t>
        </is>
      </c>
      <c r="G309" t="inlineStr">
        <is>
          <t>OSBY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46315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46315</v>
      </c>
      <c r="F311" t="inlineStr">
        <is>
          <t>SKÅNE LÄN</t>
        </is>
      </c>
      <c r="G311" t="inlineStr">
        <is>
          <t>OSBY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46020</v>
      </c>
      <c r="E312" s="1" t="n">
        <v>46315</v>
      </c>
      <c r="F312" t="inlineStr">
        <is>
          <t>SKÅNE LÄN</t>
        </is>
      </c>
      <c r="G312" t="inlineStr">
        <is>
          <t>OSBY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63893-2025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46020</v>
      </c>
      <c r="E313" s="1" t="n">
        <v>46315</v>
      </c>
      <c r="F313" t="inlineStr">
        <is>
          <t>SKÅNE LÄN</t>
        </is>
      </c>
      <c r="G313" t="inlineStr">
        <is>
          <t>OSBY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46315</v>
      </c>
      <c r="F314" t="inlineStr">
        <is>
          <t>SKÅNE LÄN</t>
        </is>
      </c>
      <c r="G314" t="inlineStr">
        <is>
          <t>OSBY</t>
        </is>
      </c>
      <c r="H314" t="inlineStr">
        <is>
          <t>Kommuner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45035</v>
      </c>
      <c r="E315" s="1" t="n">
        <v>46315</v>
      </c>
      <c r="F315" t="inlineStr">
        <is>
          <t>SKÅNE LÄN</t>
        </is>
      </c>
      <c r="G315" t="inlineStr">
        <is>
          <t>OSBY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46315</v>
      </c>
      <c r="F316" t="inlineStr">
        <is>
          <t>SKÅNE LÄN</t>
        </is>
      </c>
      <c r="G316" t="inlineStr">
        <is>
          <t>OSBY</t>
        </is>
      </c>
      <c r="H316" t="inlineStr">
        <is>
          <t>Kyrkan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25149-2026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46175</v>
      </c>
      <c r="E317" s="1" t="n">
        <v>46315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46315</v>
      </c>
      <c r="F318" t="inlineStr">
        <is>
          <t>SKÅNE LÄN</t>
        </is>
      </c>
      <c r="G318" t="inlineStr">
        <is>
          <t>OSBY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46315</v>
      </c>
      <c r="F319" t="inlineStr">
        <is>
          <t>SKÅNE LÄN</t>
        </is>
      </c>
      <c r="G319" t="inlineStr">
        <is>
          <t>OSBY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42751-2022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44832</v>
      </c>
      <c r="E320" s="1" t="n">
        <v>46315</v>
      </c>
      <c r="F320" t="inlineStr">
        <is>
          <t>SKÅNE LÄN</t>
        </is>
      </c>
      <c r="G320" t="inlineStr">
        <is>
          <t>OSBY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46315</v>
      </c>
      <c r="F321" t="inlineStr">
        <is>
          <t>SKÅNE LÄN</t>
        </is>
      </c>
      <c r="G321" t="inlineStr">
        <is>
          <t>OSBY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44644</v>
      </c>
      <c r="E322" s="1" t="n">
        <v>46315</v>
      </c>
      <c r="F322" t="inlineStr">
        <is>
          <t>SKÅNE LÄN</t>
        </is>
      </c>
      <c r="G322" t="inlineStr">
        <is>
          <t>OSBY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45706</v>
      </c>
      <c r="E323" s="1" t="n">
        <v>46315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46315</v>
      </c>
      <c r="F324" t="inlineStr">
        <is>
          <t>SKÅNE LÄN</t>
        </is>
      </c>
      <c r="G324" t="inlineStr">
        <is>
          <t>OSBY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44658</v>
      </c>
      <c r="E325" s="1" t="n">
        <v>46315</v>
      </c>
      <c r="F325" t="inlineStr">
        <is>
          <t>SKÅNE LÄN</t>
        </is>
      </c>
      <c r="G325" t="inlineStr">
        <is>
          <t>OSBY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46315</v>
      </c>
      <c r="F326" t="inlineStr">
        <is>
          <t>SKÅNE LÄN</t>
        </is>
      </c>
      <c r="G326" t="inlineStr">
        <is>
          <t>OSBY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46315</v>
      </c>
      <c r="F327" t="inlineStr">
        <is>
          <t>SKÅNE LÄN</t>
        </is>
      </c>
      <c r="G327" t="inlineStr">
        <is>
          <t>OSBY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46315</v>
      </c>
      <c r="F328" t="inlineStr">
        <is>
          <t>SKÅNE LÄN</t>
        </is>
      </c>
      <c r="G328" t="inlineStr">
        <is>
          <t>OSBY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46315</v>
      </c>
      <c r="F329" t="inlineStr">
        <is>
          <t>SKÅNE LÄN</t>
        </is>
      </c>
      <c r="G329" t="inlineStr">
        <is>
          <t>OSBY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46315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46180</v>
      </c>
      <c r="E331" s="1" t="n">
        <v>46315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46180</v>
      </c>
      <c r="E332" s="1" t="n">
        <v>46315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46315</v>
      </c>
      <c r="F333" t="inlineStr">
        <is>
          <t>SKÅNE LÄN</t>
        </is>
      </c>
      <c r="G333" t="inlineStr">
        <is>
          <t>OSBY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46315</v>
      </c>
      <c r="F334" t="inlineStr">
        <is>
          <t>SKÅNE LÄN</t>
        </is>
      </c>
      <c r="G334" t="inlineStr">
        <is>
          <t>OSBY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45453</v>
      </c>
      <c r="E335" s="1" t="n">
        <v>46315</v>
      </c>
      <c r="F335" t="inlineStr">
        <is>
          <t>SKÅNE LÄN</t>
        </is>
      </c>
      <c r="G335" t="inlineStr">
        <is>
          <t>OSBY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45695</v>
      </c>
      <c r="E336" s="1" t="n">
        <v>46315</v>
      </c>
      <c r="F336" t="inlineStr">
        <is>
          <t>SKÅNE LÄN</t>
        </is>
      </c>
      <c r="G336" t="inlineStr">
        <is>
          <t>OSBY</t>
        </is>
      </c>
      <c r="I336" t="n">
        <v>19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45609</v>
      </c>
      <c r="E337" s="1" t="n">
        <v>46315</v>
      </c>
      <c r="F337" t="inlineStr">
        <is>
          <t>SKÅNE LÄN</t>
        </is>
      </c>
      <c r="G337" t="inlineStr">
        <is>
          <t>OSBY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46180</v>
      </c>
      <c r="E338" s="1" t="n">
        <v>46315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45148</v>
      </c>
      <c r="E339" s="1" t="n">
        <v>46315</v>
      </c>
      <c r="F339" t="inlineStr">
        <is>
          <t>SKÅNE LÄN</t>
        </is>
      </c>
      <c r="G339" t="inlineStr">
        <is>
          <t>OSBY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44663</v>
      </c>
      <c r="E340" s="1" t="n">
        <v>46315</v>
      </c>
      <c r="F340" t="inlineStr">
        <is>
          <t>SKÅNE LÄN</t>
        </is>
      </c>
      <c r="G340" t="inlineStr">
        <is>
          <t>OSBY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46315</v>
      </c>
      <c r="F341" t="inlineStr">
        <is>
          <t>SKÅNE LÄN</t>
        </is>
      </c>
      <c r="G341" t="inlineStr">
        <is>
          <t>OSBY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34581-2023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46315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46315</v>
      </c>
      <c r="F343" t="inlineStr">
        <is>
          <t>SKÅNE LÄN</t>
        </is>
      </c>
      <c r="G343" t="inlineStr">
        <is>
          <t>OSBY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45715</v>
      </c>
      <c r="E344" s="1" t="n">
        <v>46315</v>
      </c>
      <c r="F344" t="inlineStr">
        <is>
          <t>SKÅNE LÄN</t>
        </is>
      </c>
      <c r="G344" t="inlineStr">
        <is>
          <t>OSBY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45686</v>
      </c>
      <c r="E345" s="1" t="n">
        <v>46315</v>
      </c>
      <c r="F345" t="inlineStr">
        <is>
          <t>SKÅNE LÄN</t>
        </is>
      </c>
      <c r="G345" t="inlineStr">
        <is>
          <t>OSBY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48840-2023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45209</v>
      </c>
      <c r="E346" s="1" t="n">
        <v>46315</v>
      </c>
      <c r="F346" t="inlineStr">
        <is>
          <t>SKÅNE LÄN</t>
        </is>
      </c>
      <c r="G346" t="inlineStr">
        <is>
          <t>OSBY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46315</v>
      </c>
      <c r="F347" t="inlineStr">
        <is>
          <t>SKÅNE LÄN</t>
        </is>
      </c>
      <c r="G347" t="inlineStr">
        <is>
          <t>OSBY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46315</v>
      </c>
      <c r="F348" t="inlineStr">
        <is>
          <t>SKÅNE LÄN</t>
        </is>
      </c>
      <c r="G348" t="inlineStr">
        <is>
          <t>OSBY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46315</v>
      </c>
      <c r="F349" t="inlineStr">
        <is>
          <t>SKÅNE LÄN</t>
        </is>
      </c>
      <c r="G349" t="inlineStr">
        <is>
          <t>OSBY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31758-2022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44776</v>
      </c>
      <c r="E350" s="1" t="n">
        <v>46315</v>
      </c>
      <c r="F350" t="inlineStr">
        <is>
          <t>SKÅNE LÄN</t>
        </is>
      </c>
      <c r="G350" t="inlineStr">
        <is>
          <t>OSBY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46315</v>
      </c>
      <c r="F351" t="inlineStr">
        <is>
          <t>SKÅNE LÄN</t>
        </is>
      </c>
      <c r="G351" t="inlineStr">
        <is>
          <t>OSBY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46315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45422</v>
      </c>
      <c r="E353" s="1" t="n">
        <v>46315</v>
      </c>
      <c r="F353" t="inlineStr">
        <is>
          <t>SKÅNE LÄN</t>
        </is>
      </c>
      <c r="G353" t="inlineStr">
        <is>
          <t>OSBY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57782-2024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46315</v>
      </c>
      <c r="F354" t="inlineStr">
        <is>
          <t>SKÅNE LÄN</t>
        </is>
      </c>
      <c r="G354" t="inlineStr">
        <is>
          <t>OSBY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46315</v>
      </c>
      <c r="F355" t="inlineStr">
        <is>
          <t>SKÅNE LÄN</t>
        </is>
      </c>
      <c r="G355" t="inlineStr">
        <is>
          <t>OSBY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46315</v>
      </c>
      <c r="F356" t="inlineStr">
        <is>
          <t>SKÅNE LÄN</t>
        </is>
      </c>
      <c r="G356" t="inlineStr">
        <is>
          <t>OSBY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46315</v>
      </c>
      <c r="F357" t="inlineStr">
        <is>
          <t>SKÅNE LÄN</t>
        </is>
      </c>
      <c r="G357" t="inlineStr">
        <is>
          <t>OSBY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46315</v>
      </c>
      <c r="F358" t="inlineStr">
        <is>
          <t>SKÅNE LÄN</t>
        </is>
      </c>
      <c r="G358" t="inlineStr">
        <is>
          <t>OSBY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46315</v>
      </c>
      <c r="F359" t="inlineStr">
        <is>
          <t>SKÅNE LÄN</t>
        </is>
      </c>
      <c r="G359" t="inlineStr">
        <is>
          <t>OSBY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46315</v>
      </c>
      <c r="F360" t="inlineStr">
        <is>
          <t>SKÅNE LÄN</t>
        </is>
      </c>
      <c r="G360" t="inlineStr">
        <is>
          <t>OSBY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46315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46315</v>
      </c>
      <c r="F362" t="inlineStr">
        <is>
          <t>SKÅNE LÄN</t>
        </is>
      </c>
      <c r="G362" t="inlineStr">
        <is>
          <t>OSBY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46315</v>
      </c>
      <c r="F363" t="inlineStr">
        <is>
          <t>SKÅNE LÄN</t>
        </is>
      </c>
      <c r="G363" t="inlineStr">
        <is>
          <t>OSBY</t>
        </is>
      </c>
      <c r="H363" t="inlineStr">
        <is>
          <t>Sveaskog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46315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46315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46189</v>
      </c>
      <c r="E366" s="1" t="n">
        <v>46315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46315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46189</v>
      </c>
      <c r="E368" s="1" t="n">
        <v>46315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46315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46089</v>
      </c>
      <c r="E370" s="1" t="n">
        <v>46315</v>
      </c>
      <c r="F370" t="inlineStr">
        <is>
          <t>SKÅNE LÄN</t>
        </is>
      </c>
      <c r="G370" t="inlineStr">
        <is>
          <t>OSBY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46189</v>
      </c>
      <c r="E371" s="1" t="n">
        <v>46315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46089</v>
      </c>
      <c r="E372" s="1" t="n">
        <v>46315</v>
      </c>
      <c r="F372" t="inlineStr">
        <is>
          <t>SKÅNE LÄN</t>
        </is>
      </c>
      <c r="G372" t="inlineStr">
        <is>
          <t>OSBY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44790</v>
      </c>
      <c r="E373" s="1" t="n">
        <v>46315</v>
      </c>
      <c r="F373" t="inlineStr">
        <is>
          <t>SKÅNE LÄN</t>
        </is>
      </c>
      <c r="G373" t="inlineStr">
        <is>
          <t>OSBY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27374-2026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46315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45314</v>
      </c>
      <c r="E375" s="1" t="n">
        <v>46315</v>
      </c>
      <c r="F375" t="inlineStr">
        <is>
          <t>SKÅNE LÄN</t>
        </is>
      </c>
      <c r="G375" t="inlineStr">
        <is>
          <t>OSBY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44802</v>
      </c>
      <c r="E376" s="1" t="n">
        <v>46315</v>
      </c>
      <c r="F376" t="inlineStr">
        <is>
          <t>SKÅNE LÄN</t>
        </is>
      </c>
      <c r="G376" t="inlineStr">
        <is>
          <t>OSBY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61602-2023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46315</v>
      </c>
      <c r="F377" t="inlineStr">
        <is>
          <t>SKÅNE LÄN</t>
        </is>
      </c>
      <c r="G377" t="inlineStr">
        <is>
          <t>OSBY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14563-2026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46315</v>
      </c>
      <c r="F378" t="inlineStr">
        <is>
          <t>SKÅNE LÄN</t>
        </is>
      </c>
      <c r="G378" t="inlineStr">
        <is>
          <t>OSBY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46315</v>
      </c>
      <c r="F379" t="inlineStr">
        <is>
          <t>SKÅNE LÄN</t>
        </is>
      </c>
      <c r="G379" t="inlineStr">
        <is>
          <t>OSBY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46315</v>
      </c>
      <c r="F380" t="inlineStr">
        <is>
          <t>SKÅNE LÄN</t>
        </is>
      </c>
      <c r="G380" t="inlineStr">
        <is>
          <t>OSBY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45216</v>
      </c>
      <c r="E381" s="1" t="n">
        <v>46315</v>
      </c>
      <c r="F381" t="inlineStr">
        <is>
          <t>SKÅNE LÄN</t>
        </is>
      </c>
      <c r="G381" t="inlineStr">
        <is>
          <t>OSBY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45555</v>
      </c>
      <c r="E382" s="1" t="n">
        <v>46315</v>
      </c>
      <c r="F382" t="inlineStr">
        <is>
          <t>SKÅNE LÄN</t>
        </is>
      </c>
      <c r="G382" t="inlineStr">
        <is>
          <t>OSBY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44873</v>
      </c>
      <c r="E383" s="1" t="n">
        <v>46315</v>
      </c>
      <c r="F383" t="inlineStr">
        <is>
          <t>SKÅNE LÄN</t>
        </is>
      </c>
      <c r="G383" t="inlineStr">
        <is>
          <t>OSBY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46315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12680-2025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45733</v>
      </c>
      <c r="E385" s="1" t="n">
        <v>46315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44603</v>
      </c>
      <c r="E386" s="1" t="n">
        <v>46315</v>
      </c>
      <c r="F386" t="inlineStr">
        <is>
          <t>SKÅNE LÄN</t>
        </is>
      </c>
      <c r="G386" t="inlineStr">
        <is>
          <t>OSBY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45147</v>
      </c>
      <c r="E387" s="1" t="n">
        <v>46315</v>
      </c>
      <c r="F387" t="inlineStr">
        <is>
          <t>SKÅNE LÄN</t>
        </is>
      </c>
      <c r="G387" t="inlineStr">
        <is>
          <t>OSBY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46315</v>
      </c>
      <c r="F388" t="inlineStr">
        <is>
          <t>SKÅNE LÄN</t>
        </is>
      </c>
      <c r="G388" t="inlineStr">
        <is>
          <t>OSBY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46315</v>
      </c>
      <c r="F389" t="inlineStr">
        <is>
          <t>SKÅNE LÄN</t>
        </is>
      </c>
      <c r="G389" t="inlineStr">
        <is>
          <t>OSBY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53003-2024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46315</v>
      </c>
      <c r="F390" t="inlineStr">
        <is>
          <t>SKÅNE LÄN</t>
        </is>
      </c>
      <c r="G390" t="inlineStr">
        <is>
          <t>OSBY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44978</v>
      </c>
      <c r="E391" s="1" t="n">
        <v>46315</v>
      </c>
      <c r="F391" t="inlineStr">
        <is>
          <t>SKÅNE LÄN</t>
        </is>
      </c>
      <c r="G391" t="inlineStr">
        <is>
          <t>OSBY</t>
        </is>
      </c>
      <c r="H391" t="inlineStr">
        <is>
          <t>Naturvårdsverket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46200</v>
      </c>
      <c r="E392" s="1" t="n">
        <v>46315</v>
      </c>
      <c r="F392" t="inlineStr">
        <is>
          <t>SKÅNE LÄN</t>
        </is>
      </c>
      <c r="G392" t="inlineStr">
        <is>
          <t>OSBY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46315</v>
      </c>
      <c r="F393" t="inlineStr">
        <is>
          <t>SKÅNE LÄN</t>
        </is>
      </c>
      <c r="G393" t="inlineStr">
        <is>
          <t>OSBY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45652</v>
      </c>
      <c r="E394" s="1" t="n">
        <v>46315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60600-2022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44911</v>
      </c>
      <c r="E395" s="1" t="n">
        <v>46315</v>
      </c>
      <c r="F395" t="inlineStr">
        <is>
          <t>SKÅNE LÄN</t>
        </is>
      </c>
      <c r="G395" t="inlineStr">
        <is>
          <t>OSBY</t>
        </is>
      </c>
      <c r="I395" t="n">
        <v>15.4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46315</v>
      </c>
      <c r="F396" t="inlineStr">
        <is>
          <t>SKÅNE LÄN</t>
        </is>
      </c>
      <c r="G396" t="inlineStr">
        <is>
          <t>OSBY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46315</v>
      </c>
      <c r="F397" t="inlineStr">
        <is>
          <t>SKÅNE LÄN</t>
        </is>
      </c>
      <c r="G397" t="inlineStr">
        <is>
          <t>OSBY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46315</v>
      </c>
      <c r="F398" t="inlineStr">
        <is>
          <t>SKÅNE LÄN</t>
        </is>
      </c>
      <c r="G398" t="inlineStr">
        <is>
          <t>OSBY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46315</v>
      </c>
      <c r="F399" t="inlineStr">
        <is>
          <t>SKÅNE LÄN</t>
        </is>
      </c>
      <c r="G399" t="inlineStr">
        <is>
          <t>OSBY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46315</v>
      </c>
      <c r="F400" t="inlineStr">
        <is>
          <t>SKÅNE LÄN</t>
        </is>
      </c>
      <c r="G400" t="inlineStr">
        <is>
          <t>OSBY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42793-2025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45908</v>
      </c>
      <c r="E401" s="1" t="n">
        <v>46315</v>
      </c>
      <c r="F401" t="inlineStr">
        <is>
          <t>SKÅNE LÄN</t>
        </is>
      </c>
      <c r="G401" t="inlineStr">
        <is>
          <t>OSBY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45785</v>
      </c>
      <c r="E402" s="1" t="n">
        <v>46315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46315</v>
      </c>
      <c r="F403" t="inlineStr">
        <is>
          <t>SKÅNE LÄN</t>
        </is>
      </c>
      <c r="G403" t="inlineStr">
        <is>
          <t>OSBY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3361-2022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44585</v>
      </c>
      <c r="E404" s="1" t="n">
        <v>46315</v>
      </c>
      <c r="F404" t="inlineStr">
        <is>
          <t>SKÅNE LÄN</t>
        </is>
      </c>
      <c r="G404" t="inlineStr">
        <is>
          <t>OSBY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46315</v>
      </c>
      <c r="F405" t="inlineStr">
        <is>
          <t>SKÅNE LÄN</t>
        </is>
      </c>
      <c r="G405" t="inlineStr">
        <is>
          <t>OSBY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46315</v>
      </c>
      <c r="F406" t="inlineStr">
        <is>
          <t>SKÅNE LÄN</t>
        </is>
      </c>
      <c r="G406" t="inlineStr">
        <is>
          <t>OSBY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46315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44620</v>
      </c>
      <c r="E408" s="1" t="n">
        <v>46315</v>
      </c>
      <c r="F408" t="inlineStr">
        <is>
          <t>SKÅNE LÄN</t>
        </is>
      </c>
      <c r="G408" t="inlineStr">
        <is>
          <t>OSBY</t>
        </is>
      </c>
      <c r="H408" t="inlineStr">
        <is>
          <t>Kommuner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44620</v>
      </c>
      <c r="E409" s="1" t="n">
        <v>46315</v>
      </c>
      <c r="F409" t="inlineStr">
        <is>
          <t>SKÅNE LÄN</t>
        </is>
      </c>
      <c r="G409" t="inlineStr">
        <is>
          <t>OSBY</t>
        </is>
      </c>
      <c r="H409" t="inlineStr">
        <is>
          <t>Kommuner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46315</v>
      </c>
      <c r="F410" t="inlineStr">
        <is>
          <t>SKÅNE LÄN</t>
        </is>
      </c>
      <c r="G410" t="inlineStr">
        <is>
          <t>OSBY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44620</v>
      </c>
      <c r="E411" s="1" t="n">
        <v>46315</v>
      </c>
      <c r="F411" t="inlineStr">
        <is>
          <t>SKÅNE LÄN</t>
        </is>
      </c>
      <c r="G411" t="inlineStr">
        <is>
          <t>OSBY</t>
        </is>
      </c>
      <c r="H411" t="inlineStr">
        <is>
          <t>Kommuner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44916</v>
      </c>
      <c r="E412" s="1" t="n">
        <v>46315</v>
      </c>
      <c r="F412" t="inlineStr">
        <is>
          <t>SKÅNE LÄN</t>
        </is>
      </c>
      <c r="G412" t="inlineStr">
        <is>
          <t>OSBY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46315</v>
      </c>
      <c r="F413" t="inlineStr">
        <is>
          <t>SKÅNE LÄN</t>
        </is>
      </c>
      <c r="G413" t="inlineStr">
        <is>
          <t>OSBY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46315</v>
      </c>
      <c r="F414" t="inlineStr">
        <is>
          <t>SKÅNE LÄN</t>
        </is>
      </c>
      <c r="G414" t="inlineStr">
        <is>
          <t>OSBY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46315</v>
      </c>
      <c r="F415" t="inlineStr">
        <is>
          <t>SKÅNE LÄN</t>
        </is>
      </c>
      <c r="G415" t="inlineStr">
        <is>
          <t>OSBY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44742</v>
      </c>
      <c r="E416" s="1" t="n">
        <v>46315</v>
      </c>
      <c r="F416" t="inlineStr">
        <is>
          <t>SKÅNE LÄN</t>
        </is>
      </c>
      <c r="G416" t="inlineStr">
        <is>
          <t>OSBY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45650-2022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44845</v>
      </c>
      <c r="E417" s="1" t="n">
        <v>46315</v>
      </c>
      <c r="F417" t="inlineStr">
        <is>
          <t>SKÅNE LÄN</t>
        </is>
      </c>
      <c r="G417" t="inlineStr">
        <is>
          <t>OSBY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45573</v>
      </c>
      <c r="E418" s="1" t="n">
        <v>46315</v>
      </c>
      <c r="F418" t="inlineStr">
        <is>
          <t>SKÅNE LÄN</t>
        </is>
      </c>
      <c r="G418" t="inlineStr">
        <is>
          <t>OSBY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46315</v>
      </c>
      <c r="F419" t="inlineStr">
        <is>
          <t>SKÅNE LÄN</t>
        </is>
      </c>
      <c r="G419" t="inlineStr">
        <is>
          <t>OSBY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44957</v>
      </c>
      <c r="E420" s="1" t="n">
        <v>46315</v>
      </c>
      <c r="F420" t="inlineStr">
        <is>
          <t>SKÅNE LÄN</t>
        </is>
      </c>
      <c r="G420" t="inlineStr">
        <is>
          <t>OSBY</t>
        </is>
      </c>
      <c r="I420" t="n">
        <v>9.199999999999999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11555-2022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44631</v>
      </c>
      <c r="E421" s="1" t="n">
        <v>46315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46315</v>
      </c>
      <c r="F422" t="inlineStr">
        <is>
          <t>SKÅNE LÄN</t>
        </is>
      </c>
      <c r="G422" t="inlineStr">
        <is>
          <t>OSBY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46213</v>
      </c>
      <c r="E423" s="1" t="n">
        <v>46315</v>
      </c>
      <c r="F423" t="inlineStr">
        <is>
          <t>SKÅNE LÄN</t>
        </is>
      </c>
      <c r="G423" t="inlineStr">
        <is>
          <t>OSBY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45016</v>
      </c>
      <c r="E424" s="1" t="n">
        <v>46315</v>
      </c>
      <c r="F424" t="inlineStr">
        <is>
          <t>SKÅNE LÄN</t>
        </is>
      </c>
      <c r="G424" t="inlineStr">
        <is>
          <t>OSBY</t>
        </is>
      </c>
      <c r="H424" t="inlineStr">
        <is>
          <t>Naturvårdsverket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46213</v>
      </c>
      <c r="E425" s="1" t="n">
        <v>46315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46315</v>
      </c>
      <c r="F426" t="inlineStr">
        <is>
          <t>SKÅNE LÄN</t>
        </is>
      </c>
      <c r="G426" t="inlineStr">
        <is>
          <t>OSBY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46315</v>
      </c>
      <c r="F427" t="inlineStr">
        <is>
          <t>SKÅNE LÄN</t>
        </is>
      </c>
      <c r="G427" t="inlineStr">
        <is>
          <t>OSBY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45341</v>
      </c>
      <c r="E428" s="1" t="n">
        <v>46315</v>
      </c>
      <c r="F428" t="inlineStr">
        <is>
          <t>SKÅNE LÄN</t>
        </is>
      </c>
      <c r="G428" t="inlineStr">
        <is>
          <t>OSBY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45436</v>
      </c>
      <c r="E429" s="1" t="n">
        <v>46315</v>
      </c>
      <c r="F429" t="inlineStr">
        <is>
          <t>SKÅNE LÄN</t>
        </is>
      </c>
      <c r="G429" t="inlineStr">
        <is>
          <t>OSBY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45071</v>
      </c>
      <c r="E430" s="1" t="n">
        <v>46315</v>
      </c>
      <c r="F430" t="inlineStr">
        <is>
          <t>SKÅNE LÄN</t>
        </is>
      </c>
      <c r="G430" t="inlineStr">
        <is>
          <t>OSBY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45097</v>
      </c>
      <c r="E431" s="1" t="n">
        <v>46315</v>
      </c>
      <c r="F431" t="inlineStr">
        <is>
          <t>SKÅNE LÄN</t>
        </is>
      </c>
      <c r="G431" t="inlineStr">
        <is>
          <t>OSBY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22029-2022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46315</v>
      </c>
      <c r="F432" t="inlineStr">
        <is>
          <t>SKÅNE LÄN</t>
        </is>
      </c>
      <c r="G432" t="inlineStr">
        <is>
          <t>OSBY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46315</v>
      </c>
      <c r="F433" t="inlineStr">
        <is>
          <t>SKÅNE LÄN</t>
        </is>
      </c>
      <c r="G433" t="inlineStr">
        <is>
          <t>OSBY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45632</v>
      </c>
      <c r="E434" s="1" t="n">
        <v>46315</v>
      </c>
      <c r="F434" t="inlineStr">
        <is>
          <t>SKÅNE LÄN</t>
        </is>
      </c>
      <c r="G434" t="inlineStr">
        <is>
          <t>OSBY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46315</v>
      </c>
      <c r="F435" t="inlineStr">
        <is>
          <t>SKÅNE LÄN</t>
        </is>
      </c>
      <c r="G435" t="inlineStr">
        <is>
          <t>OSBY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50738-2023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46315</v>
      </c>
      <c r="F436" t="inlineStr">
        <is>
          <t>SKÅNE LÄN</t>
        </is>
      </c>
      <c r="G436" t="inlineStr">
        <is>
          <t>OSBY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45079</v>
      </c>
      <c r="E437" s="1" t="n">
        <v>46315</v>
      </c>
      <c r="F437" t="inlineStr">
        <is>
          <t>SKÅNE LÄN</t>
        </is>
      </c>
      <c r="G437" t="inlineStr">
        <is>
          <t>OSBY</t>
        </is>
      </c>
      <c r="H437" t="inlineStr">
        <is>
          <t>Kommuner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45011</v>
      </c>
      <c r="E438" s="1" t="n">
        <v>46315</v>
      </c>
      <c r="F438" t="inlineStr">
        <is>
          <t>SKÅNE LÄN</t>
        </is>
      </c>
      <c r="G438" t="inlineStr">
        <is>
          <t>OSBY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46315</v>
      </c>
      <c r="F439" t="inlineStr">
        <is>
          <t>SKÅNE LÄN</t>
        </is>
      </c>
      <c r="G439" t="inlineStr">
        <is>
          <t>OSBY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46315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46315</v>
      </c>
      <c r="F441" t="inlineStr">
        <is>
          <t>SKÅNE LÄN</t>
        </is>
      </c>
      <c r="G441" t="inlineStr">
        <is>
          <t>OSBY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38486-2024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45546</v>
      </c>
      <c r="E442" s="1" t="n">
        <v>46315</v>
      </c>
      <c r="F442" t="inlineStr">
        <is>
          <t>SKÅNE LÄN</t>
        </is>
      </c>
      <c r="G442" t="inlineStr">
        <is>
          <t>OSBY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27758-2022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46315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46275</v>
      </c>
      <c r="E444" s="1" t="n">
        <v>46315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46276</v>
      </c>
      <c r="E445" s="1" t="n">
        <v>46315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45375</v>
      </c>
      <c r="E446" s="1" t="n">
        <v>46315</v>
      </c>
      <c r="F446" t="inlineStr">
        <is>
          <t>SKÅNE LÄN</t>
        </is>
      </c>
      <c r="G446" t="inlineStr">
        <is>
          <t>OSBY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59253-2022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44904</v>
      </c>
      <c r="E447" s="1" t="n">
        <v>46315</v>
      </c>
      <c r="F447" t="inlineStr">
        <is>
          <t>SKÅNE LÄN</t>
        </is>
      </c>
      <c r="G447" t="inlineStr">
        <is>
          <t>OSBY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17616-2023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46315</v>
      </c>
      <c r="F448" t="inlineStr">
        <is>
          <t>SKÅNE LÄN</t>
        </is>
      </c>
      <c r="G448" t="inlineStr">
        <is>
          <t>OSBY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23234-2024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46315</v>
      </c>
      <c r="F449" t="inlineStr">
        <is>
          <t>SKÅNE LÄN</t>
        </is>
      </c>
      <c r="G449" t="inlineStr">
        <is>
          <t>OSBY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44594</v>
      </c>
      <c r="E450" s="1" t="n">
        <v>46315</v>
      </c>
      <c r="F450" t="inlineStr">
        <is>
          <t>SKÅNE LÄN</t>
        </is>
      </c>
      <c r="G450" t="inlineStr">
        <is>
          <t>OSBY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32584-2022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44783</v>
      </c>
      <c r="E451" s="1" t="n">
        <v>46315</v>
      </c>
      <c r="F451" t="inlineStr">
        <is>
          <t>SKÅNE LÄN</t>
        </is>
      </c>
      <c r="G451" t="inlineStr">
        <is>
          <t>OSBY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44429-2024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45573</v>
      </c>
      <c r="E452" s="1" t="n">
        <v>46315</v>
      </c>
      <c r="F452" t="inlineStr">
        <is>
          <t>SKÅNE LÄN</t>
        </is>
      </c>
      <c r="G452" t="inlineStr">
        <is>
          <t>OSBY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48132-2024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46315</v>
      </c>
      <c r="F453" t="inlineStr">
        <is>
          <t>SKÅNE LÄN</t>
        </is>
      </c>
      <c r="G453" t="inlineStr">
        <is>
          <t>OSBY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48137-2024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46315</v>
      </c>
      <c r="F454" t="inlineStr">
        <is>
          <t>SKÅNE LÄN</t>
        </is>
      </c>
      <c r="G454" t="inlineStr">
        <is>
          <t>OSBY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10967-2024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46315</v>
      </c>
      <c r="F455" t="inlineStr">
        <is>
          <t>SKÅNE LÄN</t>
        </is>
      </c>
      <c r="G455" t="inlineStr">
        <is>
          <t>OSBY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46315</v>
      </c>
      <c r="F456" t="inlineStr">
        <is>
          <t>SKÅNE LÄN</t>
        </is>
      </c>
      <c r="G456" t="inlineStr">
        <is>
          <t>OSBY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46315</v>
      </c>
      <c r="F457" t="inlineStr">
        <is>
          <t>SKÅNE LÄN</t>
        </is>
      </c>
      <c r="G457" t="inlineStr">
        <is>
          <t>OSBY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46282</v>
      </c>
      <c r="E458" s="1" t="n">
        <v>46315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44904</v>
      </c>
      <c r="E459" s="1" t="n">
        <v>46315</v>
      </c>
      <c r="F459" t="inlineStr">
        <is>
          <t>SKÅNE LÄN</t>
        </is>
      </c>
      <c r="G459" t="inlineStr">
        <is>
          <t>OSBY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45683</v>
      </c>
      <c r="E460" s="1" t="n">
        <v>46315</v>
      </c>
      <c r="F460" t="inlineStr">
        <is>
          <t>SKÅNE LÄN</t>
        </is>
      </c>
      <c r="G460" t="inlineStr">
        <is>
          <t>OSBY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45141</v>
      </c>
      <c r="E461" s="1" t="n">
        <v>46315</v>
      </c>
      <c r="F461" t="inlineStr">
        <is>
          <t>SKÅNE LÄN</t>
        </is>
      </c>
      <c r="G461" t="inlineStr">
        <is>
          <t>OSBY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45105</v>
      </c>
      <c r="E462" s="1" t="n">
        <v>46315</v>
      </c>
      <c r="F462" t="inlineStr">
        <is>
          <t>SKÅNE LÄN</t>
        </is>
      </c>
      <c r="G462" t="inlineStr">
        <is>
          <t>OSBY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45353</v>
      </c>
      <c r="E463" s="1" t="n">
        <v>46315</v>
      </c>
      <c r="F463" t="inlineStr">
        <is>
          <t>SKÅNE LÄN</t>
        </is>
      </c>
      <c r="G463" t="inlineStr">
        <is>
          <t>OSBY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45443</v>
      </c>
      <c r="E464" s="1" t="n">
        <v>46315</v>
      </c>
      <c r="F464" t="inlineStr">
        <is>
          <t>SKÅNE LÄN</t>
        </is>
      </c>
      <c r="G464" t="inlineStr">
        <is>
          <t>OSBY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46315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46315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45273</v>
      </c>
      <c r="E467" s="1" t="n">
        <v>46315</v>
      </c>
      <c r="F467" t="inlineStr">
        <is>
          <t>SKÅNE LÄN</t>
        </is>
      </c>
      <c r="G467" t="inlineStr">
        <is>
          <t>OSBY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39781-2026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46290</v>
      </c>
      <c r="E468" s="1" t="n">
        <v>46315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45628</v>
      </c>
      <c r="E469" s="1" t="n">
        <v>46315</v>
      </c>
      <c r="F469" t="inlineStr">
        <is>
          <t>SKÅNE LÄN</t>
        </is>
      </c>
      <c r="G469" t="inlineStr">
        <is>
          <t>OSBY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61711-2024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45648</v>
      </c>
      <c r="E470" s="1" t="n">
        <v>46315</v>
      </c>
      <c r="F470" t="inlineStr">
        <is>
          <t>SKÅNE LÄN</t>
        </is>
      </c>
      <c r="G470" t="inlineStr">
        <is>
          <t>OSBY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46289</v>
      </c>
      <c r="E471" s="1" t="n">
        <v>46315</v>
      </c>
      <c r="F471" t="inlineStr">
        <is>
          <t>SKÅNE LÄN</t>
        </is>
      </c>
      <c r="G471" t="inlineStr">
        <is>
          <t>OSBY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45033</v>
      </c>
      <c r="E472" s="1" t="n">
        <v>46315</v>
      </c>
      <c r="F472" t="inlineStr">
        <is>
          <t>SKÅNE LÄN</t>
        </is>
      </c>
      <c r="G472" t="inlineStr">
        <is>
          <t>OSBY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46289</v>
      </c>
      <c r="E473" s="1" t="n">
        <v>46315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54009-2023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45231</v>
      </c>
      <c r="E474" s="1" t="n">
        <v>46315</v>
      </c>
      <c r="F474" t="inlineStr">
        <is>
          <t>SKÅNE LÄN</t>
        </is>
      </c>
      <c r="G474" t="inlineStr">
        <is>
          <t>OSBY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46315</v>
      </c>
      <c r="F475" t="inlineStr">
        <is>
          <t>SKÅNE LÄN</t>
        </is>
      </c>
      <c r="G475" t="inlineStr">
        <is>
          <t>OSBY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23476-2024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45453</v>
      </c>
      <c r="E476" s="1" t="n">
        <v>46315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46315</v>
      </c>
      <c r="F477" t="inlineStr">
        <is>
          <t>SKÅNE LÄN</t>
        </is>
      </c>
      <c r="G477" t="inlineStr">
        <is>
          <t>OSBY</t>
        </is>
      </c>
      <c r="H477" t="inlineStr">
        <is>
          <t>Kommuner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44957</v>
      </c>
      <c r="E478" s="1" t="n">
        <v>46315</v>
      </c>
      <c r="F478" t="inlineStr">
        <is>
          <t>SKÅNE LÄN</t>
        </is>
      </c>
      <c r="G478" t="inlineStr">
        <is>
          <t>OSBY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45062</v>
      </c>
      <c r="E479" s="1" t="n">
        <v>46315</v>
      </c>
      <c r="F479" t="inlineStr">
        <is>
          <t>SKÅNE LÄN</t>
        </is>
      </c>
      <c r="G479" t="inlineStr">
        <is>
          <t>OSBY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45208</v>
      </c>
      <c r="E480" s="1" t="n">
        <v>46315</v>
      </c>
      <c r="F480" t="inlineStr">
        <is>
          <t>SKÅNE LÄN</t>
        </is>
      </c>
      <c r="G480" t="inlineStr">
        <is>
          <t>OSBY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45323</v>
      </c>
      <c r="E481" s="1" t="n">
        <v>46315</v>
      </c>
      <c r="F481" t="inlineStr">
        <is>
          <t>SKÅNE LÄN</t>
        </is>
      </c>
      <c r="G481" t="inlineStr">
        <is>
          <t>OSBY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45362</v>
      </c>
      <c r="E482" s="1" t="n">
        <v>46315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37358-2024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45540</v>
      </c>
      <c r="E483" s="1" t="n">
        <v>46315</v>
      </c>
      <c r="F483" t="inlineStr">
        <is>
          <t>SKÅNE LÄN</t>
        </is>
      </c>
      <c r="G483" t="inlineStr">
        <is>
          <t>OSBY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46253</v>
      </c>
      <c r="E484" s="1" t="n">
        <v>46315</v>
      </c>
      <c r="F484" t="inlineStr">
        <is>
          <t>SKÅNE LÄN</t>
        </is>
      </c>
      <c r="G484" t="inlineStr">
        <is>
          <t>OSBY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45686</v>
      </c>
      <c r="E485" s="1" t="n">
        <v>46315</v>
      </c>
      <c r="F485" t="inlineStr">
        <is>
          <t>SKÅNE LÄN</t>
        </is>
      </c>
      <c r="G485" t="inlineStr">
        <is>
          <t>OSBY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26780-2023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45093</v>
      </c>
      <c r="E486" s="1" t="n">
        <v>46315</v>
      </c>
      <c r="F486" t="inlineStr">
        <is>
          <t>SKÅNE LÄN</t>
        </is>
      </c>
      <c r="G486" t="inlineStr">
        <is>
          <t>OSBY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31639-2024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45506</v>
      </c>
      <c r="E487" s="1" t="n">
        <v>46315</v>
      </c>
      <c r="F487" t="inlineStr">
        <is>
          <t>SKÅNE LÄN</t>
        </is>
      </c>
      <c r="G487" t="inlineStr">
        <is>
          <t>OSBY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15653-2024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45404</v>
      </c>
      <c r="E488" s="1" t="n">
        <v>46315</v>
      </c>
      <c r="F488" t="inlineStr">
        <is>
          <t>SKÅNE LÄN</t>
        </is>
      </c>
      <c r="G488" t="inlineStr">
        <is>
          <t>OSBY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45777</v>
      </c>
      <c r="E489" s="1" t="n">
        <v>46315</v>
      </c>
      <c r="F489" t="inlineStr">
        <is>
          <t>SKÅNE LÄN</t>
        </is>
      </c>
      <c r="G489" t="inlineStr">
        <is>
          <t>OSBY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21570-2025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45782</v>
      </c>
      <c r="E490" s="1" t="n">
        <v>46315</v>
      </c>
      <c r="F490" t="inlineStr">
        <is>
          <t>SKÅNE LÄN</t>
        </is>
      </c>
      <c r="G490" t="inlineStr">
        <is>
          <t>OSBY</t>
        </is>
      </c>
      <c r="I490" t="n">
        <v>15.1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46315</v>
      </c>
      <c r="F491" t="inlineStr">
        <is>
          <t>SKÅNE LÄN</t>
        </is>
      </c>
      <c r="G491" t="inlineStr">
        <is>
          <t>OSBY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46315</v>
      </c>
      <c r="F492" t="inlineStr">
        <is>
          <t>SKÅNE LÄN</t>
        </is>
      </c>
      <c r="G492" t="inlineStr">
        <is>
          <t>OSBY</t>
        </is>
      </c>
      <c r="H492" t="inlineStr">
        <is>
          <t>Naturvårdsverket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45702</v>
      </c>
      <c r="E493" s="1" t="n">
        <v>46315</v>
      </c>
      <c r="F493" t="inlineStr">
        <is>
          <t>SKÅNE LÄN</t>
        </is>
      </c>
      <c r="G493" t="inlineStr">
        <is>
          <t>OSBY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45721</v>
      </c>
      <c r="E494" s="1" t="n">
        <v>46315</v>
      </c>
      <c r="F494" t="inlineStr">
        <is>
          <t>SKÅNE LÄN</t>
        </is>
      </c>
      <c r="G494" t="inlineStr">
        <is>
          <t>OSBY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46315</v>
      </c>
      <c r="F495" t="inlineStr">
        <is>
          <t>SKÅNE LÄN</t>
        </is>
      </c>
      <c r="G495" t="inlineStr">
        <is>
          <t>OSBY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45630</v>
      </c>
      <c r="E496" s="1" t="n">
        <v>46315</v>
      </c>
      <c r="F496" t="inlineStr">
        <is>
          <t>SKÅNE LÄN</t>
        </is>
      </c>
      <c r="G496" t="inlineStr">
        <is>
          <t>OSBY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46315</v>
      </c>
      <c r="F497" t="inlineStr">
        <is>
          <t>SKÅNE LÄN</t>
        </is>
      </c>
      <c r="G497" t="inlineStr">
        <is>
          <t>OSBY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46302</v>
      </c>
      <c r="E498" s="1" t="n">
        <v>46315</v>
      </c>
      <c r="F498" t="inlineStr">
        <is>
          <t>SKÅNE LÄN</t>
        </is>
      </c>
      <c r="G498" t="inlineStr">
        <is>
          <t>OSBY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9987-2025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45719</v>
      </c>
      <c r="E499" s="1" t="n">
        <v>46315</v>
      </c>
      <c r="F499" t="inlineStr">
        <is>
          <t>SKÅNE LÄN</t>
        </is>
      </c>
      <c r="G499" t="inlineStr">
        <is>
          <t>OSBY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45708</v>
      </c>
      <c r="E500" s="1" t="n">
        <v>46315</v>
      </c>
      <c r="F500" t="inlineStr">
        <is>
          <t>SKÅNE LÄN</t>
        </is>
      </c>
      <c r="G500" t="inlineStr">
        <is>
          <t>OSBY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46302</v>
      </c>
      <c r="E501" s="1" t="n">
        <v>46315</v>
      </c>
      <c r="F501" t="inlineStr">
        <is>
          <t>SKÅNE LÄN</t>
        </is>
      </c>
      <c r="G501" t="inlineStr">
        <is>
          <t>OSBY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46315</v>
      </c>
      <c r="F502" t="inlineStr">
        <is>
          <t>SKÅNE LÄN</t>
        </is>
      </c>
      <c r="G502" t="inlineStr">
        <is>
          <t>OSBY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44827</v>
      </c>
      <c r="E503" s="1" t="n">
        <v>46315</v>
      </c>
      <c r="F503" t="inlineStr">
        <is>
          <t>SKÅNE LÄN</t>
        </is>
      </c>
      <c r="G503" t="inlineStr">
        <is>
          <t>OSBY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46315</v>
      </c>
      <c r="F504" t="inlineStr">
        <is>
          <t>SKÅNE LÄN</t>
        </is>
      </c>
      <c r="G504" t="inlineStr">
        <is>
          <t>OSBY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45708</v>
      </c>
      <c r="E505" s="1" t="n">
        <v>46315</v>
      </c>
      <c r="F505" t="inlineStr">
        <is>
          <t>SKÅNE LÄN</t>
        </is>
      </c>
      <c r="G505" t="inlineStr">
        <is>
          <t>OSBY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46303</v>
      </c>
      <c r="E506" s="1" t="n">
        <v>46315</v>
      </c>
      <c r="F506" t="inlineStr">
        <is>
          <t>SKÅNE LÄN</t>
        </is>
      </c>
      <c r="G506" t="inlineStr">
        <is>
          <t>OSBY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20813-2023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45055</v>
      </c>
      <c r="E507" s="1" t="n">
        <v>46315</v>
      </c>
      <c r="F507" t="inlineStr">
        <is>
          <t>SKÅNE LÄN</t>
        </is>
      </c>
      <c r="G507" t="inlineStr">
        <is>
          <t>OSBY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40035-2024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45553</v>
      </c>
      <c r="E508" s="1" t="n">
        <v>46315</v>
      </c>
      <c r="F508" t="inlineStr">
        <is>
          <t>SKÅNE LÄN</t>
        </is>
      </c>
      <c r="G508" t="inlineStr">
        <is>
          <t>OSBY</t>
        </is>
      </c>
      <c r="H508" t="inlineStr">
        <is>
          <t>Kommuner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46303</v>
      </c>
      <c r="E509" s="1" t="n">
        <v>46315</v>
      </c>
      <c r="F509" t="inlineStr">
        <is>
          <t>SKÅNE LÄN</t>
        </is>
      </c>
      <c r="G509" t="inlineStr">
        <is>
          <t>OSBY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45471</v>
      </c>
      <c r="E510" s="1" t="n">
        <v>46315</v>
      </c>
      <c r="F510" t="inlineStr">
        <is>
          <t>SKÅNE LÄN</t>
        </is>
      </c>
      <c r="G510" t="inlineStr">
        <is>
          <t>OSBY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46315</v>
      </c>
      <c r="F511" t="inlineStr">
        <is>
          <t>SKÅNE LÄN</t>
        </is>
      </c>
      <c r="G511" t="inlineStr">
        <is>
          <t>OSBY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26222-2025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45805</v>
      </c>
      <c r="E512" s="1" t="n">
        <v>46315</v>
      </c>
      <c r="F512" t="inlineStr">
        <is>
          <t>SKÅNE LÄN</t>
        </is>
      </c>
      <c r="G512" t="inlineStr">
        <is>
          <t>OSBY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46315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46265</v>
      </c>
      <c r="E514" s="1" t="n">
        <v>46315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46315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46315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46315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46315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46315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58751-2024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45635</v>
      </c>
      <c r="E520" s="1" t="n">
        <v>46315</v>
      </c>
      <c r="F520" t="inlineStr">
        <is>
          <t>SKÅNE LÄN</t>
        </is>
      </c>
      <c r="G520" t="inlineStr">
        <is>
          <t>OSBY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46315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42937-2026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46310</v>
      </c>
      <c r="E522" s="1" t="n">
        <v>46315</v>
      </c>
      <c r="F522" t="inlineStr">
        <is>
          <t>SKÅNE LÄN</t>
        </is>
      </c>
      <c r="G522" t="inlineStr">
        <is>
          <t>OSBY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42717-2026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46308</v>
      </c>
      <c r="E523" s="1" t="n">
        <v>46315</v>
      </c>
      <c r="F523" t="inlineStr">
        <is>
          <t>SKÅNE LÄN</t>
        </is>
      </c>
      <c r="G523" t="inlineStr">
        <is>
          <t>OSBY</t>
        </is>
      </c>
      <c r="H523" t="inlineStr">
        <is>
          <t>Kyrkan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46315</v>
      </c>
      <c r="F524" t="inlineStr">
        <is>
          <t>SKÅNE LÄN</t>
        </is>
      </c>
      <c r="G524" t="inlineStr">
        <is>
          <t>OSBY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36080-2026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46315</v>
      </c>
      <c r="F525" t="inlineStr">
        <is>
          <t>SKÅNE LÄN</t>
        </is>
      </c>
      <c r="G525" t="inlineStr">
        <is>
          <t>OSBY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46315</v>
      </c>
      <c r="F526" t="inlineStr">
        <is>
          <t>SKÅNE LÄN</t>
        </is>
      </c>
      <c r="G526" t="inlineStr">
        <is>
          <t>OSBY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45834</v>
      </c>
      <c r="E527" s="1" t="n">
        <v>46315</v>
      </c>
      <c r="F527" t="inlineStr">
        <is>
          <t>SKÅNE LÄN</t>
        </is>
      </c>
      <c r="G527" t="inlineStr">
        <is>
          <t>OSBY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46315</v>
      </c>
      <c r="F528" t="inlineStr">
        <is>
          <t>SKÅNE LÄN</t>
        </is>
      </c>
      <c r="G528" t="inlineStr">
        <is>
          <t>OSBY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46315</v>
      </c>
      <c r="F529" t="inlineStr">
        <is>
          <t>SKÅNE LÄN</t>
        </is>
      </c>
      <c r="G529" t="inlineStr">
        <is>
          <t>OSBY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46315</v>
      </c>
      <c r="F530" t="inlineStr">
        <is>
          <t>SKÅNE LÄN</t>
        </is>
      </c>
      <c r="G530" t="inlineStr">
        <is>
          <t>OSBY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45838</v>
      </c>
      <c r="E531" s="1" t="n">
        <v>46315</v>
      </c>
      <c r="F531" t="inlineStr">
        <is>
          <t>SKÅNE LÄN</t>
        </is>
      </c>
      <c r="G531" t="inlineStr">
        <is>
          <t>OSBY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46315</v>
      </c>
      <c r="F532" t="inlineStr">
        <is>
          <t>SKÅNE LÄN</t>
        </is>
      </c>
      <c r="G532" t="inlineStr">
        <is>
          <t>OSBY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45518</v>
      </c>
      <c r="E533" s="1" t="n">
        <v>46315</v>
      </c>
      <c r="F533" t="inlineStr">
        <is>
          <t>SKÅNE LÄN</t>
        </is>
      </c>
      <c r="G533" t="inlineStr">
        <is>
          <t>OSBY</t>
        </is>
      </c>
      <c r="H533" t="inlineStr">
        <is>
          <t>Naturvårdsverket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46315</v>
      </c>
      <c r="F534" t="inlineStr">
        <is>
          <t>SKÅNE LÄN</t>
        </is>
      </c>
      <c r="G534" t="inlineStr">
        <is>
          <t>OSBY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46315</v>
      </c>
      <c r="F535" t="inlineStr">
        <is>
          <t>SKÅNE LÄN</t>
        </is>
      </c>
      <c r="G535" t="inlineStr">
        <is>
          <t>OSBY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45826</v>
      </c>
      <c r="E536" s="1" t="n">
        <v>46315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43451-2026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46314</v>
      </c>
      <c r="E537" s="1" t="n">
        <v>46315</v>
      </c>
      <c r="F537" t="inlineStr">
        <is>
          <t>SKÅNE LÄN</t>
        </is>
      </c>
      <c r="G537" t="inlineStr">
        <is>
          <t>OSBY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45845</v>
      </c>
      <c r="E538" s="1" t="n">
        <v>46315</v>
      </c>
      <c r="F538" t="inlineStr">
        <is>
          <t>SKÅNE LÄN</t>
        </is>
      </c>
      <c r="G538" t="inlineStr">
        <is>
          <t>OSBY</t>
        </is>
      </c>
      <c r="I538" t="n">
        <v>11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45844</v>
      </c>
      <c r="E539" s="1" t="n">
        <v>46315</v>
      </c>
      <c r="F539" t="inlineStr">
        <is>
          <t>SKÅNE LÄN</t>
        </is>
      </c>
      <c r="G539" t="inlineStr">
        <is>
          <t>OSBY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34047-2025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45845</v>
      </c>
      <c r="E540" s="1" t="n">
        <v>46315</v>
      </c>
      <c r="F540" t="inlineStr">
        <is>
          <t>SKÅNE LÄN</t>
        </is>
      </c>
      <c r="G540" t="inlineStr">
        <is>
          <t>OSBY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46315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46315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46315</v>
      </c>
      <c r="F543" t="inlineStr">
        <is>
          <t>SKÅNE LÄN</t>
        </is>
      </c>
      <c r="G543" t="inlineStr">
        <is>
          <t>OSBY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46314</v>
      </c>
      <c r="E544" s="1" t="n">
        <v>46315</v>
      </c>
      <c r="F544" t="inlineStr">
        <is>
          <t>SKÅNE LÄN</t>
        </is>
      </c>
      <c r="G544" t="inlineStr">
        <is>
          <t>OSBY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46310</v>
      </c>
      <c r="E545" s="1" t="n">
        <v>46315</v>
      </c>
      <c r="F545" t="inlineStr">
        <is>
          <t>SKÅNE LÄN</t>
        </is>
      </c>
      <c r="G545" t="inlineStr">
        <is>
          <t>OSBY</t>
        </is>
      </c>
      <c r="H545" t="inlineStr">
        <is>
          <t>Kyrkan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46315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1800-2022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44656</v>
      </c>
      <c r="E547" s="1" t="n">
        <v>46315</v>
      </c>
      <c r="F547" t="inlineStr">
        <is>
          <t>SKÅNE LÄN</t>
        </is>
      </c>
      <c r="G547" t="inlineStr">
        <is>
          <t>OSBY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1439-2022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44635</v>
      </c>
      <c r="E548" s="1" t="n">
        <v>46315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3083-2022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44719</v>
      </c>
      <c r="E549" s="1" t="n">
        <v>46315</v>
      </c>
      <c r="F549" t="inlineStr">
        <is>
          <t>SKÅNE LÄN</t>
        </is>
      </c>
      <c r="G549" t="inlineStr">
        <is>
          <t>OSBY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1209-2022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44622</v>
      </c>
      <c r="E550" s="1" t="n">
        <v>46315</v>
      </c>
      <c r="F550" t="inlineStr">
        <is>
          <t>SKÅNE LÄN</t>
        </is>
      </c>
      <c r="G550" t="inlineStr">
        <is>
          <t>OSBY</t>
        </is>
      </c>
      <c r="I550" t="n">
        <v>18.1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3844-2024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45560</v>
      </c>
      <c r="E551" s="1" t="n">
        <v>46315</v>
      </c>
      <c r="F551" t="inlineStr">
        <is>
          <t>SKÅNE LÄN</t>
        </is>
      </c>
      <c r="G551" t="inlineStr">
        <is>
          <t>OSBY</t>
        </is>
      </c>
      <c r="I551" t="n">
        <v>16.1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131-2023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44938</v>
      </c>
      <c r="E552" s="1" t="n">
        <v>46315</v>
      </c>
      <c r="F552" t="inlineStr">
        <is>
          <t>SKÅNE LÄN</t>
        </is>
      </c>
      <c r="G552" t="inlineStr">
        <is>
          <t>OSBY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46315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46315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46315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46315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46315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46315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46315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46315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46315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46315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46315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46315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46315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46315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2418-2023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45124</v>
      </c>
      <c r="E567" s="1" t="n">
        <v>46315</v>
      </c>
      <c r="F567" t="inlineStr">
        <is>
          <t>SKÅNE LÄN</t>
        </is>
      </c>
      <c r="G567" t="inlineStr">
        <is>
          <t>OSBY</t>
        </is>
      </c>
      <c r="I567" t="n">
        <v>14.4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566-2024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45350</v>
      </c>
      <c r="E568" s="1" t="n">
        <v>46315</v>
      </c>
      <c r="F568" t="inlineStr">
        <is>
          <t>SKÅNE LÄN</t>
        </is>
      </c>
      <c r="G568" t="inlineStr">
        <is>
          <t>OSBY</t>
        </is>
      </c>
      <c r="I568" t="n">
        <v>17.2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798-2024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45370</v>
      </c>
      <c r="E569" s="1" t="n">
        <v>46315</v>
      </c>
      <c r="F569" t="inlineStr">
        <is>
          <t>SKÅNE LÄN</t>
        </is>
      </c>
      <c r="G569" t="inlineStr">
        <is>
          <t>OSBY</t>
        </is>
      </c>
      <c r="I569" t="n">
        <v>14.8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847-2024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45373</v>
      </c>
      <c r="E570" s="1" t="n">
        <v>46315</v>
      </c>
      <c r="F570" t="inlineStr">
        <is>
          <t>SKÅNE LÄN</t>
        </is>
      </c>
      <c r="G570" t="inlineStr">
        <is>
          <t>OSBY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4768-2022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46315</v>
      </c>
      <c r="F571" t="inlineStr">
        <is>
          <t>SKÅNE LÄN</t>
        </is>
      </c>
      <c r="G571" t="inlineStr">
        <is>
          <t>OSBY</t>
        </is>
      </c>
      <c r="I571" t="n">
        <v>15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976-2023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45005</v>
      </c>
      <c r="E572" s="1" t="n">
        <v>46315</v>
      </c>
      <c r="F572" t="inlineStr">
        <is>
          <t>SKÅNE LÄN</t>
        </is>
      </c>
      <c r="G572" t="inlineStr">
        <is>
          <t>OSBY</t>
        </is>
      </c>
      <c r="I572" t="n">
        <v>42.6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44938</v>
      </c>
      <c r="E573" s="1" t="n">
        <v>46315</v>
      </c>
      <c r="F573" t="inlineStr">
        <is>
          <t>SKÅNE LÄN</t>
        </is>
      </c>
      <c r="G573" t="inlineStr">
        <is>
          <t>OSBY</t>
        </is>
      </c>
      <c r="I573" t="n">
        <v>29.6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3280-2023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45194</v>
      </c>
      <c r="E574" s="1" t="n">
        <v>46315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4864-2022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44805</v>
      </c>
      <c r="E575" s="1" t="n">
        <v>46315</v>
      </c>
      <c r="F575" t="inlineStr">
        <is>
          <t>SKÅNE LÄN</t>
        </is>
      </c>
      <c r="G575" t="inlineStr">
        <is>
          <t>OSBY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6862-2022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44896</v>
      </c>
      <c r="E576" s="1" t="n">
        <v>46315</v>
      </c>
      <c r="F576" t="inlineStr">
        <is>
          <t>SKÅNE LÄN</t>
        </is>
      </c>
      <c r="G576" t="inlineStr">
        <is>
          <t>OSBY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46315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46315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46315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46315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46315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46315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46315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46315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46315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46315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46315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2026-10-20T01:51:23Z</dcterms:created>
  <dcterms:modified xmlns:dcterms="http://purl.org/dc/terms/" xmlns:xsi="http://www.w3.org/2001/XMLSchema-instance" xsi:type="dcterms:W3CDTF">2026-10-20T01:51:23Z</dcterms:modified>
</cp:coreProperties>
</file>