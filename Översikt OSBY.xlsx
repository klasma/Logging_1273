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45475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45475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45475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45475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45475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38268-2019</t>
        </is>
      </c>
      <c r="B7" s="1" t="n">
        <v>43684</v>
      </c>
      <c r="C7" s="1" t="n">
        <v>45475</v>
      </c>
      <c r="D7" t="inlineStr">
        <is>
          <t>SKÅNE LÄN</t>
        </is>
      </c>
      <c r="E7" t="inlineStr">
        <is>
          <t>OSBY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HYPERLINK("https://klasma.github.io/Logging_1273/artfynd/A 38268-2019 artfynd.xlsx", "A 38268-2019")</f>
        <v/>
      </c>
      <c r="T7">
        <f>HYPERLINK("https://klasma.github.io/Logging_1273/kartor/A 38268-2019 karta.png", "A 38268-2019")</f>
        <v/>
      </c>
      <c r="V7">
        <f>HYPERLINK("https://klasma.github.io/Logging_1273/klagomål/A 38268-2019 FSC-klagomål.docx", "A 38268-2019")</f>
        <v/>
      </c>
      <c r="W7">
        <f>HYPERLINK("https://klasma.github.io/Logging_1273/klagomålsmail/A 38268-2019 FSC-klagomål mail.docx", "A 38268-2019")</f>
        <v/>
      </c>
      <c r="X7">
        <f>HYPERLINK("https://klasma.github.io/Logging_1273/tillsyn/A 38268-2019 tillsynsbegäran.docx", "A 38268-2019")</f>
        <v/>
      </c>
      <c r="Y7">
        <f>HYPERLINK("https://klasma.github.io/Logging_1273/tillsynsmail/A 38268-2019 tillsynsbegäran mail.docx", "A 38268-2019")</f>
        <v/>
      </c>
    </row>
    <row r="8" ht="15" customHeight="1">
      <c r="A8" t="inlineStr">
        <is>
          <t>A 50573-2019</t>
        </is>
      </c>
      <c r="B8" s="1" t="n">
        <v>43735</v>
      </c>
      <c r="C8" s="1" t="n">
        <v>45475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HYPERLINK("https://klasma.github.io/Logging_1273/artfynd/A 50573-2019 artfynd.xlsx", "A 50573-2019")</f>
        <v/>
      </c>
      <c r="T8">
        <f>HYPERLINK("https://klasma.github.io/Logging_1273/kartor/A 50573-2019 karta.png", "A 50573-2019")</f>
        <v/>
      </c>
      <c r="V8">
        <f>HYPERLINK("https://klasma.github.io/Logging_1273/klagomål/A 50573-2019 FSC-klagomål.docx", "A 50573-2019")</f>
        <v/>
      </c>
      <c r="W8">
        <f>HYPERLINK("https://klasma.github.io/Logging_1273/klagomålsmail/A 50573-2019 FSC-klagomål mail.docx", "A 50573-2019")</f>
        <v/>
      </c>
      <c r="X8">
        <f>HYPERLINK("https://klasma.github.io/Logging_1273/tillsyn/A 50573-2019 tillsynsbegäran.docx", "A 50573-2019")</f>
        <v/>
      </c>
      <c r="Y8">
        <f>HYPERLINK("https://klasma.github.io/Logging_1273/tillsynsmail/A 50573-2019 tillsynsbegäran mail.docx", "A 50573-2019")</f>
        <v/>
      </c>
    </row>
    <row r="9" ht="15" customHeight="1">
      <c r="A9" t="inlineStr">
        <is>
          <t>A 53436-2019</t>
        </is>
      </c>
      <c r="B9" s="1" t="n">
        <v>43748</v>
      </c>
      <c r="C9" s="1" t="n">
        <v>45475</v>
      </c>
      <c r="D9" t="inlineStr">
        <is>
          <t>SKÅNE LÄN</t>
        </is>
      </c>
      <c r="E9" t="inlineStr">
        <is>
          <t>OSBY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HYPERLINK("https://klasma.github.io/Logging_1273/artfynd/A 53436-2019 artfynd.xlsx", "A 53436-2019")</f>
        <v/>
      </c>
      <c r="T9">
        <f>HYPERLINK("https://klasma.github.io/Logging_1273/kartor/A 53436-2019 karta.png", "A 53436-2019")</f>
        <v/>
      </c>
      <c r="V9">
        <f>HYPERLINK("https://klasma.github.io/Logging_1273/klagomål/A 53436-2019 FSC-klagomål.docx", "A 53436-2019")</f>
        <v/>
      </c>
      <c r="W9">
        <f>HYPERLINK("https://klasma.github.io/Logging_1273/klagomålsmail/A 53436-2019 FSC-klagomål mail.docx", "A 53436-2019")</f>
        <v/>
      </c>
      <c r="X9">
        <f>HYPERLINK("https://klasma.github.io/Logging_1273/tillsyn/A 53436-2019 tillsynsbegäran.docx", "A 53436-2019")</f>
        <v/>
      </c>
      <c r="Y9">
        <f>HYPERLINK("https://klasma.github.io/Logging_1273/tillsynsmail/A 53436-2019 tillsynsbegäran mail.docx", "A 53436-2019")</f>
        <v/>
      </c>
    </row>
    <row r="10" ht="15" customHeight="1">
      <c r="A10" t="inlineStr">
        <is>
          <t>A 15777-2020</t>
        </is>
      </c>
      <c r="B10" s="1" t="n">
        <v>43915</v>
      </c>
      <c r="C10" s="1" t="n">
        <v>45475</v>
      </c>
      <c r="D10" t="inlineStr">
        <is>
          <t>SKÅNE LÄN</t>
        </is>
      </c>
      <c r="E10" t="inlineStr">
        <is>
          <t>OSBY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HYPERLINK("https://klasma.github.io/Logging_1273/artfynd/A 15777-2020 artfynd.xlsx", "A 15777-2020")</f>
        <v/>
      </c>
      <c r="T10">
        <f>HYPERLINK("https://klasma.github.io/Logging_1273/kartor/A 15777-2020 karta.png", "A 15777-2020")</f>
        <v/>
      </c>
      <c r="V10">
        <f>HYPERLINK("https://klasma.github.io/Logging_1273/klagomål/A 15777-2020 FSC-klagomål.docx", "A 15777-2020")</f>
        <v/>
      </c>
      <c r="W10">
        <f>HYPERLINK("https://klasma.github.io/Logging_1273/klagomålsmail/A 15777-2020 FSC-klagomål mail.docx", "A 15777-2020")</f>
        <v/>
      </c>
      <c r="X10">
        <f>HYPERLINK("https://klasma.github.io/Logging_1273/tillsyn/A 15777-2020 tillsynsbegäran.docx", "A 15777-2020")</f>
        <v/>
      </c>
      <c r="Y10">
        <f>HYPERLINK("https://klasma.github.io/Logging_1273/tillsynsmail/A 15777-2020 tillsynsbegäran mail.docx", "A 15777-2020")</f>
        <v/>
      </c>
    </row>
    <row r="11" ht="15" customHeight="1">
      <c r="A11" t="inlineStr">
        <is>
          <t>A 20474-2020</t>
        </is>
      </c>
      <c r="B11" s="1" t="n">
        <v>43948</v>
      </c>
      <c r="C11" s="1" t="n">
        <v>45475</v>
      </c>
      <c r="D11" t="inlineStr">
        <is>
          <t>SKÅNE LÄN</t>
        </is>
      </c>
      <c r="E11" t="inlineStr">
        <is>
          <t>OSBY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Bårdfibbla</t>
        </is>
      </c>
      <c r="S11">
        <f>HYPERLINK("https://klasma.github.io/Logging_1273/artfynd/A 20474-2020 artfynd.xlsx", "A 20474-2020")</f>
        <v/>
      </c>
      <c r="T11">
        <f>HYPERLINK("https://klasma.github.io/Logging_1273/kartor/A 20474-2020 karta.png", "A 20474-2020")</f>
        <v/>
      </c>
      <c r="V11">
        <f>HYPERLINK("https://klasma.github.io/Logging_1273/klagomål/A 20474-2020 FSC-klagomål.docx", "A 20474-2020")</f>
        <v/>
      </c>
      <c r="W11">
        <f>HYPERLINK("https://klasma.github.io/Logging_1273/klagomålsmail/A 20474-2020 FSC-klagomål mail.docx", "A 20474-2020")</f>
        <v/>
      </c>
      <c r="X11">
        <f>HYPERLINK("https://klasma.github.io/Logging_1273/tillsyn/A 20474-2020 tillsynsbegäran.docx", "A 20474-2020")</f>
        <v/>
      </c>
      <c r="Y11">
        <f>HYPERLINK("https://klasma.github.io/Logging_1273/tillsynsmail/A 20474-2020 tillsynsbegäran mail.docx", "A 20474-2020")</f>
        <v/>
      </c>
    </row>
    <row r="12" ht="15" customHeight="1">
      <c r="A12" t="inlineStr">
        <is>
          <t>A 24297-2020</t>
        </is>
      </c>
      <c r="B12" s="1" t="n">
        <v>43976</v>
      </c>
      <c r="C12" s="1" t="n">
        <v>45475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8.4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HYPERLINK("https://klasma.github.io/Logging_1273/artfynd/A 24297-2020 artfynd.xlsx", "A 24297-2020")</f>
        <v/>
      </c>
      <c r="T12">
        <f>HYPERLINK("https://klasma.github.io/Logging_1273/kartor/A 24297-2020 karta.png", "A 24297-2020")</f>
        <v/>
      </c>
      <c r="V12">
        <f>HYPERLINK("https://klasma.github.io/Logging_1273/klagomål/A 24297-2020 FSC-klagomål.docx", "A 24297-2020")</f>
        <v/>
      </c>
      <c r="W12">
        <f>HYPERLINK("https://klasma.github.io/Logging_1273/klagomålsmail/A 24297-2020 FSC-klagomål mail.docx", "A 24297-2020")</f>
        <v/>
      </c>
      <c r="X12">
        <f>HYPERLINK("https://klasma.github.io/Logging_1273/tillsyn/A 24297-2020 tillsynsbegäran.docx", "A 24297-2020")</f>
        <v/>
      </c>
      <c r="Y12">
        <f>HYPERLINK("https://klasma.github.io/Logging_1273/tillsynsmail/A 24297-2020 tillsynsbegäran mail.docx", "A 24297-2020")</f>
        <v/>
      </c>
    </row>
    <row r="13" ht="15" customHeight="1">
      <c r="A13" t="inlineStr">
        <is>
          <t>A 63915-2020</t>
        </is>
      </c>
      <c r="B13" s="1" t="n">
        <v>44166</v>
      </c>
      <c r="C13" s="1" t="n">
        <v>45475</v>
      </c>
      <c r="D13" t="inlineStr">
        <is>
          <t>SKÅNE LÄN</t>
        </is>
      </c>
      <c r="E13" t="inlineStr">
        <is>
          <t>OSBY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HYPERLINK("https://klasma.github.io/Logging_1273/artfynd/A 63915-2020 artfynd.xlsx", "A 63915-2020")</f>
        <v/>
      </c>
      <c r="T13">
        <f>HYPERLINK("https://klasma.github.io/Logging_1273/kartor/A 63915-2020 karta.png", "A 63915-2020")</f>
        <v/>
      </c>
      <c r="V13">
        <f>HYPERLINK("https://klasma.github.io/Logging_1273/klagomål/A 63915-2020 FSC-klagomål.docx", "A 63915-2020")</f>
        <v/>
      </c>
      <c r="W13">
        <f>HYPERLINK("https://klasma.github.io/Logging_1273/klagomålsmail/A 63915-2020 FSC-klagomål mail.docx", "A 63915-2020")</f>
        <v/>
      </c>
      <c r="X13">
        <f>HYPERLINK("https://klasma.github.io/Logging_1273/tillsyn/A 63915-2020 tillsynsbegäran.docx", "A 63915-2020")</f>
        <v/>
      </c>
      <c r="Y13">
        <f>HYPERLINK("https://klasma.github.io/Logging_1273/tillsynsmail/A 63915-2020 tillsynsbegäran mail.docx", "A 63915-2020")</f>
        <v/>
      </c>
    </row>
    <row r="14" ht="15" customHeight="1">
      <c r="A14" t="inlineStr">
        <is>
          <t>A 63914-2020</t>
        </is>
      </c>
      <c r="B14" s="1" t="n">
        <v>44166</v>
      </c>
      <c r="C14" s="1" t="n">
        <v>45475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63914-2020 artfynd.xlsx", "A 63914-2020")</f>
        <v/>
      </c>
      <c r="T14">
        <f>HYPERLINK("https://klasma.github.io/Logging_1273/kartor/A 63914-2020 karta.png", "A 63914-2020")</f>
        <v/>
      </c>
      <c r="V14">
        <f>HYPERLINK("https://klasma.github.io/Logging_1273/klagomål/A 63914-2020 FSC-klagomål.docx", "A 63914-2020")</f>
        <v/>
      </c>
      <c r="W14">
        <f>HYPERLINK("https://klasma.github.io/Logging_1273/klagomålsmail/A 63914-2020 FSC-klagomål mail.docx", "A 63914-2020")</f>
        <v/>
      </c>
      <c r="X14">
        <f>HYPERLINK("https://klasma.github.io/Logging_1273/tillsyn/A 63914-2020 tillsynsbegäran.docx", "A 63914-2020")</f>
        <v/>
      </c>
      <c r="Y14">
        <f>HYPERLINK("https://klasma.github.io/Logging_1273/tillsynsmail/A 63914-2020 tillsynsbegäran mail.docx", "A 63914-2020")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45475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45475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38643-2022</t>
        </is>
      </c>
      <c r="B17" s="1" t="n">
        <v>44813</v>
      </c>
      <c r="C17" s="1" t="n">
        <v>45475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9.5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HYPERLINK("https://klasma.github.io/Logging_1273/artfynd/A 38643-2022 artfynd.xlsx", "A 38643-2022")</f>
        <v/>
      </c>
      <c r="T17">
        <f>HYPERLINK("https://klasma.github.io/Logging_1273/kartor/A 38643-2022 karta.png", "A 38643-2022")</f>
        <v/>
      </c>
      <c r="V17">
        <f>HYPERLINK("https://klasma.github.io/Logging_1273/klagomål/A 38643-2022 FSC-klagomål.docx", "A 38643-2022")</f>
        <v/>
      </c>
      <c r="W17">
        <f>HYPERLINK("https://klasma.github.io/Logging_1273/klagomålsmail/A 38643-2022 FSC-klagomål mail.docx", "A 38643-2022")</f>
        <v/>
      </c>
      <c r="X17">
        <f>HYPERLINK("https://klasma.github.io/Logging_1273/tillsyn/A 38643-2022 tillsynsbegäran.docx", "A 38643-2022")</f>
        <v/>
      </c>
      <c r="Y17">
        <f>HYPERLINK("https://klasma.github.io/Logging_1273/tillsynsmail/A 38643-2022 tillsynsbegäran mail.docx", "A 38643-2022")</f>
        <v/>
      </c>
    </row>
    <row r="18" ht="15" customHeight="1">
      <c r="A18" t="inlineStr">
        <is>
          <t>A 47612-2022</t>
        </is>
      </c>
      <c r="B18" s="1" t="n">
        <v>44852</v>
      </c>
      <c r="C18" s="1" t="n">
        <v>45475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16.4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HYPERLINK("https://klasma.github.io/Logging_1273/artfynd/A 47612-2022 artfynd.xlsx", "A 47612-2022")</f>
        <v/>
      </c>
      <c r="T18">
        <f>HYPERLINK("https://klasma.github.io/Logging_1273/kartor/A 47612-2022 karta.png", "A 47612-2022")</f>
        <v/>
      </c>
      <c r="V18">
        <f>HYPERLINK("https://klasma.github.io/Logging_1273/klagomål/A 47612-2022 FSC-klagomål.docx", "A 47612-2022")</f>
        <v/>
      </c>
      <c r="W18">
        <f>HYPERLINK("https://klasma.github.io/Logging_1273/klagomålsmail/A 47612-2022 FSC-klagomål mail.docx", "A 47612-2022")</f>
        <v/>
      </c>
      <c r="X18">
        <f>HYPERLINK("https://klasma.github.io/Logging_1273/tillsyn/A 47612-2022 tillsynsbegäran.docx", "A 47612-2022")</f>
        <v/>
      </c>
      <c r="Y18">
        <f>HYPERLINK("https://klasma.github.io/Logging_1273/tillsynsmail/A 47612-2022 tillsynsbegäran mail.docx", "A 47612-2022")</f>
        <v/>
      </c>
      <c r="Z18">
        <f>HYPERLINK("https://klasma.github.io/Logging_1273/fåglar/A 47612-2022 prioriterade fågelarter.docx", "A 47612-2022")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45475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45475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45475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31722-2023</t>
        </is>
      </c>
      <c r="B22" s="1" t="n">
        <v>45117</v>
      </c>
      <c r="C22" s="1" t="n">
        <v>45475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45475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48514-2023</t>
        </is>
      </c>
      <c r="B24" s="1" t="n">
        <v>45208</v>
      </c>
      <c r="C24" s="1" t="n">
        <v>45475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HYPERLINK("https://klasma.github.io/Logging_1273/artfynd/A 48514-2023 artfynd.xlsx", "A 48514-2023")</f>
        <v/>
      </c>
      <c r="T24">
        <f>HYPERLINK("https://klasma.github.io/Logging_1273/kartor/A 48514-2023 karta.png", "A 48514-2023")</f>
        <v/>
      </c>
      <c r="V24">
        <f>HYPERLINK("https://klasma.github.io/Logging_1273/klagomål/A 48514-2023 FSC-klagomål.docx", "A 48514-2023")</f>
        <v/>
      </c>
      <c r="W24">
        <f>HYPERLINK("https://klasma.github.io/Logging_1273/klagomålsmail/A 48514-2023 FSC-klagomål mail.docx", "A 48514-2023")</f>
        <v/>
      </c>
      <c r="X24">
        <f>HYPERLINK("https://klasma.github.io/Logging_1273/tillsyn/A 48514-2023 tillsynsbegäran.docx", "A 48514-2023")</f>
        <v/>
      </c>
      <c r="Y24">
        <f>HYPERLINK("https://klasma.github.io/Logging_1273/tillsynsmail/A 48514-2023 tillsynsbegäran mail.docx", "A 48514-2023")</f>
        <v/>
      </c>
    </row>
    <row r="25" ht="15" customHeight="1">
      <c r="A25" t="inlineStr">
        <is>
          <t>A 49505-2023</t>
        </is>
      </c>
      <c r="B25" s="1" t="n">
        <v>45211</v>
      </c>
      <c r="C25" s="1" t="n">
        <v>45475</v>
      </c>
      <c r="D25" t="inlineStr">
        <is>
          <t>SKÅNE LÄN</t>
        </is>
      </c>
      <c r="E25" t="inlineStr">
        <is>
          <t>OSBY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HYPERLINK("https://klasma.github.io/Logging_1273/artfynd/A 49505-2023 artfynd.xlsx", "A 49505-2023")</f>
        <v/>
      </c>
      <c r="T25">
        <f>HYPERLINK("https://klasma.github.io/Logging_1273/kartor/A 49505-2023 karta.png", "A 49505-2023")</f>
        <v/>
      </c>
      <c r="V25">
        <f>HYPERLINK("https://klasma.github.io/Logging_1273/klagomål/A 49505-2023 FSC-klagomål.docx", "A 49505-2023")</f>
        <v/>
      </c>
      <c r="W25">
        <f>HYPERLINK("https://klasma.github.io/Logging_1273/klagomålsmail/A 49505-2023 FSC-klagomål mail.docx", "A 49505-2023")</f>
        <v/>
      </c>
      <c r="X25">
        <f>HYPERLINK("https://klasma.github.io/Logging_1273/tillsyn/A 49505-2023 tillsynsbegäran.docx", "A 49505-2023")</f>
        <v/>
      </c>
      <c r="Y25">
        <f>HYPERLINK("https://klasma.github.io/Logging_1273/tillsynsmail/A 49505-2023 tillsynsbegäran mail.docx", "A 49505-2023")</f>
        <v/>
      </c>
    </row>
    <row r="26" ht="15" customHeight="1">
      <c r="A26" t="inlineStr">
        <is>
          <t>A 57035-2023</t>
        </is>
      </c>
      <c r="B26" s="1" t="n">
        <v>45244</v>
      </c>
      <c r="C26" s="1" t="n">
        <v>45475</v>
      </c>
      <c r="D26" t="inlineStr">
        <is>
          <t>SKÅNE LÄN</t>
        </is>
      </c>
      <c r="E26" t="inlineStr">
        <is>
          <t>OSBY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57035-2023 artfynd.xlsx", "A 57035-2023")</f>
        <v/>
      </c>
      <c r="T26">
        <f>HYPERLINK("https://klasma.github.io/Logging_1273/kartor/A 57035-2023 karta.png", "A 57035-2023")</f>
        <v/>
      </c>
      <c r="V26">
        <f>HYPERLINK("https://klasma.github.io/Logging_1273/klagomål/A 57035-2023 FSC-klagomål.docx", "A 57035-2023")</f>
        <v/>
      </c>
      <c r="W26">
        <f>HYPERLINK("https://klasma.github.io/Logging_1273/klagomålsmail/A 57035-2023 FSC-klagomål mail.docx", "A 57035-2023")</f>
        <v/>
      </c>
      <c r="X26">
        <f>HYPERLINK("https://klasma.github.io/Logging_1273/tillsyn/A 57035-2023 tillsynsbegäran.docx", "A 57035-2023")</f>
        <v/>
      </c>
      <c r="Y26">
        <f>HYPERLINK("https://klasma.github.io/Logging_1273/tillsynsmail/A 57035-2023 tillsynsbegäran mail.docx", "A 57035-2023")</f>
        <v/>
      </c>
      <c r="Z26">
        <f>HYPERLINK("https://klasma.github.io/Logging_1273/fåglar/A 57035-2023 prioriterade fågelarter.docx", "A 57035-2023")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45475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21313-2024</t>
        </is>
      </c>
      <c r="B28" s="1" t="n">
        <v>45440</v>
      </c>
      <c r="C28" s="1" t="n">
        <v>45475</v>
      </c>
      <c r="D28" t="inlineStr">
        <is>
          <t>SKÅNE LÄN</t>
        </is>
      </c>
      <c r="E28" t="inlineStr">
        <is>
          <t>OSBY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21313-2024 artfynd.xlsx", "A 21313-2024")</f>
        <v/>
      </c>
      <c r="T28">
        <f>HYPERLINK("https://klasma.github.io/Logging_1273/kartor/A 21313-2024 karta.png", "A 21313-2024")</f>
        <v/>
      </c>
      <c r="V28">
        <f>HYPERLINK("https://klasma.github.io/Logging_1273/klagomål/A 21313-2024 FSC-klagomål.docx", "A 21313-2024")</f>
        <v/>
      </c>
      <c r="W28">
        <f>HYPERLINK("https://klasma.github.io/Logging_1273/klagomålsmail/A 21313-2024 FSC-klagomål mail.docx", "A 21313-2024")</f>
        <v/>
      </c>
      <c r="X28">
        <f>HYPERLINK("https://klasma.github.io/Logging_1273/tillsyn/A 21313-2024 tillsynsbegäran.docx", "A 21313-2024")</f>
        <v/>
      </c>
      <c r="Y28">
        <f>HYPERLINK("https://klasma.github.io/Logging_1273/tillsynsmail/A 21313-2024 tillsynsbegäran mail.docx", "A 21313-2024")</f>
        <v/>
      </c>
    </row>
    <row r="29" ht="15" customHeight="1">
      <c r="A29" t="inlineStr">
        <is>
          <t>A 23694-2024</t>
        </is>
      </c>
      <c r="B29" s="1" t="n">
        <v>45454</v>
      </c>
      <c r="C29" s="1" t="n">
        <v>45475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HYPERLINK("https://klasma.github.io/Logging_1273/artfynd/A 23694-2024 artfynd.xlsx", "A 23694-2024")</f>
        <v/>
      </c>
      <c r="T29">
        <f>HYPERLINK("https://klasma.github.io/Logging_1273/kartor/A 23694-2024 karta.png", "A 23694-2024")</f>
        <v/>
      </c>
      <c r="V29">
        <f>HYPERLINK("https://klasma.github.io/Logging_1273/klagomål/A 23694-2024 FSC-klagomål.docx", "A 23694-2024")</f>
        <v/>
      </c>
      <c r="W29">
        <f>HYPERLINK("https://klasma.github.io/Logging_1273/klagomålsmail/A 23694-2024 FSC-klagomål mail.docx", "A 23694-2024")</f>
        <v/>
      </c>
      <c r="X29">
        <f>HYPERLINK("https://klasma.github.io/Logging_1273/tillsyn/A 23694-2024 tillsynsbegäran.docx", "A 23694-2024")</f>
        <v/>
      </c>
      <c r="Y29">
        <f>HYPERLINK("https://klasma.github.io/Logging_1273/tillsynsmail/A 23694-2024 tillsynsbegäran mail.docx", "A 23694-2024")</f>
        <v/>
      </c>
    </row>
    <row r="30" ht="15" customHeight="1">
      <c r="A30" t="inlineStr">
        <is>
          <t>A 18475-2019</t>
        </is>
      </c>
      <c r="B30" s="1" t="n">
        <v>43559</v>
      </c>
      <c r="C30" s="1" t="n">
        <v>45475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18896-2019</t>
        </is>
      </c>
      <c r="B31" s="1" t="n">
        <v>43563</v>
      </c>
      <c r="C31" s="1" t="n">
        <v>45475</v>
      </c>
      <c r="D31" t="inlineStr">
        <is>
          <t>SKÅNE LÄN</t>
        </is>
      </c>
      <c r="E31" t="inlineStr">
        <is>
          <t>OSBY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18898-2019</t>
        </is>
      </c>
      <c r="B32" s="1" t="n">
        <v>43563</v>
      </c>
      <c r="C32" s="1" t="n">
        <v>45475</v>
      </c>
      <c r="D32" t="inlineStr">
        <is>
          <t>SKÅNE LÄN</t>
        </is>
      </c>
      <c r="E32" t="inlineStr">
        <is>
          <t>OSBY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20239-2019</t>
        </is>
      </c>
      <c r="B33" s="1" t="n">
        <v>43567</v>
      </c>
      <c r="C33" s="1" t="n">
        <v>45475</v>
      </c>
      <c r="D33" t="inlineStr">
        <is>
          <t>SKÅNE LÄN</t>
        </is>
      </c>
      <c r="E33" t="inlineStr">
        <is>
          <t>OSBY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19820-2019</t>
        </is>
      </c>
      <c r="B34" s="1" t="n">
        <v>43567</v>
      </c>
      <c r="C34" s="1" t="n">
        <v>45475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20082-2019</t>
        </is>
      </c>
      <c r="B35" s="1" t="n">
        <v>43570</v>
      </c>
      <c r="C35" s="1" t="n">
        <v>45475</v>
      </c>
      <c r="D35" t="inlineStr">
        <is>
          <t>SKÅNE LÄN</t>
        </is>
      </c>
      <c r="E35" t="inlineStr">
        <is>
          <t>OSBY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20515-2019</t>
        </is>
      </c>
      <c r="B36" s="1" t="n">
        <v>43572</v>
      </c>
      <c r="C36" s="1" t="n">
        <v>45475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20555-2019</t>
        </is>
      </c>
      <c r="B37" s="1" t="n">
        <v>43572</v>
      </c>
      <c r="C37" s="1" t="n">
        <v>45475</v>
      </c>
      <c r="D37" t="inlineStr">
        <is>
          <t>SKÅNE LÄN</t>
        </is>
      </c>
      <c r="E37" t="inlineStr">
        <is>
          <t>OSBY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20934-2019</t>
        </is>
      </c>
      <c r="B38" s="1" t="n">
        <v>43574</v>
      </c>
      <c r="C38" s="1" t="n">
        <v>45475</v>
      </c>
      <c r="D38" t="inlineStr">
        <is>
          <t>SKÅNE LÄN</t>
        </is>
      </c>
      <c r="E38" t="inlineStr">
        <is>
          <t>OSBY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20980-2019</t>
        </is>
      </c>
      <c r="B39" s="1" t="n">
        <v>43574</v>
      </c>
      <c r="C39" s="1" t="n">
        <v>45475</v>
      </c>
      <c r="D39" t="inlineStr">
        <is>
          <t>SKÅNE LÄN</t>
        </is>
      </c>
      <c r="E39" t="inlineStr">
        <is>
          <t>OSBY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20921-2019</t>
        </is>
      </c>
      <c r="B40" s="1" t="n">
        <v>43574</v>
      </c>
      <c r="C40" s="1" t="n">
        <v>45475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21637-2019</t>
        </is>
      </c>
      <c r="B41" s="1" t="n">
        <v>43581</v>
      </c>
      <c r="C41" s="1" t="n">
        <v>45475</v>
      </c>
      <c r="D41" t="inlineStr">
        <is>
          <t>SKÅNE LÄN</t>
        </is>
      </c>
      <c r="E41" t="inlineStr">
        <is>
          <t>OSBY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22066-2019</t>
        </is>
      </c>
      <c r="B42" s="1" t="n">
        <v>43584</v>
      </c>
      <c r="C42" s="1" t="n">
        <v>45475</v>
      </c>
      <c r="D42" t="inlineStr">
        <is>
          <t>SKÅNE LÄN</t>
        </is>
      </c>
      <c r="E42" t="inlineStr">
        <is>
          <t>OSBY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22176-2019</t>
        </is>
      </c>
      <c r="B43" s="1" t="n">
        <v>43585</v>
      </c>
      <c r="C43" s="1" t="n">
        <v>45475</v>
      </c>
      <c r="D43" t="inlineStr">
        <is>
          <t>SKÅNE LÄN</t>
        </is>
      </c>
      <c r="E43" t="inlineStr">
        <is>
          <t>OSBY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22177-2019</t>
        </is>
      </c>
      <c r="B44" s="1" t="n">
        <v>43585</v>
      </c>
      <c r="C44" s="1" t="n">
        <v>45475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22164-2019</t>
        </is>
      </c>
      <c r="B45" s="1" t="n">
        <v>43585</v>
      </c>
      <c r="C45" s="1" t="n">
        <v>45475</v>
      </c>
      <c r="D45" t="inlineStr">
        <is>
          <t>SKÅNE LÄN</t>
        </is>
      </c>
      <c r="E45" t="inlineStr">
        <is>
          <t>OSBY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22328-2019</t>
        </is>
      </c>
      <c r="B46" s="1" t="n">
        <v>43586</v>
      </c>
      <c r="C46" s="1" t="n">
        <v>45475</v>
      </c>
      <c r="D46" t="inlineStr">
        <is>
          <t>SKÅNE LÄN</t>
        </is>
      </c>
      <c r="E46" t="inlineStr">
        <is>
          <t>OSBY</t>
        </is>
      </c>
      <c r="F46" t="inlineStr">
        <is>
          <t>Naturvårdsverket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22638-2019</t>
        </is>
      </c>
      <c r="B47" s="1" t="n">
        <v>43588</v>
      </c>
      <c r="C47" s="1" t="n">
        <v>45475</v>
      </c>
      <c r="D47" t="inlineStr">
        <is>
          <t>SKÅNE LÄN</t>
        </is>
      </c>
      <c r="E47" t="inlineStr">
        <is>
          <t>OSBY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24824-2019</t>
        </is>
      </c>
      <c r="B48" s="1" t="n">
        <v>43602</v>
      </c>
      <c r="C48" s="1" t="n">
        <v>45475</v>
      </c>
      <c r="D48" t="inlineStr">
        <is>
          <t>SKÅNE LÄN</t>
        </is>
      </c>
      <c r="E48" t="inlineStr">
        <is>
          <t>OSBY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26100-2019</t>
        </is>
      </c>
      <c r="B49" s="1" t="n">
        <v>43609</v>
      </c>
      <c r="C49" s="1" t="n">
        <v>45475</v>
      </c>
      <c r="D49" t="inlineStr">
        <is>
          <t>SKÅNE LÄN</t>
        </is>
      </c>
      <c r="E49" t="inlineStr">
        <is>
          <t>OSBY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27370-2019</t>
        </is>
      </c>
      <c r="B50" s="1" t="n">
        <v>43616</v>
      </c>
      <c r="C50" s="1" t="n">
        <v>45475</v>
      </c>
      <c r="D50" t="inlineStr">
        <is>
          <t>SKÅNE LÄN</t>
        </is>
      </c>
      <c r="E50" t="inlineStr">
        <is>
          <t>OSBY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27649-2019</t>
        </is>
      </c>
      <c r="B51" s="1" t="n">
        <v>43619</v>
      </c>
      <c r="C51" s="1" t="n">
        <v>45475</v>
      </c>
      <c r="D51" t="inlineStr">
        <is>
          <t>SKÅNE LÄN</t>
        </is>
      </c>
      <c r="E51" t="inlineStr">
        <is>
          <t>OSBY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28161-2019</t>
        </is>
      </c>
      <c r="B52" s="1" t="n">
        <v>43621</v>
      </c>
      <c r="C52" s="1" t="n">
        <v>45475</v>
      </c>
      <c r="D52" t="inlineStr">
        <is>
          <t>SKÅNE LÄN</t>
        </is>
      </c>
      <c r="E52" t="inlineStr">
        <is>
          <t>OSBY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31619-2019</t>
        </is>
      </c>
      <c r="B53" s="1" t="n">
        <v>43642</v>
      </c>
      <c r="C53" s="1" t="n">
        <v>45475</v>
      </c>
      <c r="D53" t="inlineStr">
        <is>
          <t>SKÅNE LÄN</t>
        </is>
      </c>
      <c r="E53" t="inlineStr">
        <is>
          <t>OSBY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31803-2019</t>
        </is>
      </c>
      <c r="B54" s="1" t="n">
        <v>43642</v>
      </c>
      <c r="C54" s="1" t="n">
        <v>45475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31790-2019</t>
        </is>
      </c>
      <c r="B55" s="1" t="n">
        <v>43642</v>
      </c>
      <c r="C55" s="1" t="n">
        <v>45475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31795-2019</t>
        </is>
      </c>
      <c r="B56" s="1" t="n">
        <v>43642</v>
      </c>
      <c r="C56" s="1" t="n">
        <v>45475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32352-2019</t>
        </is>
      </c>
      <c r="B57" s="1" t="n">
        <v>43644</v>
      </c>
      <c r="C57" s="1" t="n">
        <v>45475</v>
      </c>
      <c r="D57" t="inlineStr">
        <is>
          <t>SKÅNE LÄN</t>
        </is>
      </c>
      <c r="E57" t="inlineStr">
        <is>
          <t>OSBY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33125-2019</t>
        </is>
      </c>
      <c r="B58" s="1" t="n">
        <v>43649</v>
      </c>
      <c r="C58" s="1" t="n">
        <v>45475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33170-2019</t>
        </is>
      </c>
      <c r="B59" s="1" t="n">
        <v>43649</v>
      </c>
      <c r="C59" s="1" t="n">
        <v>45475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35343-2019</t>
        </is>
      </c>
      <c r="B60" s="1" t="n">
        <v>43663</v>
      </c>
      <c r="C60" s="1" t="n">
        <v>45475</v>
      </c>
      <c r="D60" t="inlineStr">
        <is>
          <t>SKÅNE LÄN</t>
        </is>
      </c>
      <c r="E60" t="inlineStr">
        <is>
          <t>OSBY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37598-2019</t>
        </is>
      </c>
      <c r="B61" s="1" t="n">
        <v>43680</v>
      </c>
      <c r="C61" s="1" t="n">
        <v>45475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37595-2019</t>
        </is>
      </c>
      <c r="B62" s="1" t="n">
        <v>43680</v>
      </c>
      <c r="C62" s="1" t="n">
        <v>45475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38817-2019</t>
        </is>
      </c>
      <c r="B63" s="1" t="n">
        <v>43689</v>
      </c>
      <c r="C63" s="1" t="n">
        <v>45475</v>
      </c>
      <c r="D63" t="inlineStr">
        <is>
          <t>SKÅNE LÄN</t>
        </is>
      </c>
      <c r="E63" t="inlineStr">
        <is>
          <t>OSBY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41197-2019</t>
        </is>
      </c>
      <c r="B64" s="1" t="n">
        <v>43698</v>
      </c>
      <c r="C64" s="1" t="n">
        <v>45475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42696-2019</t>
        </is>
      </c>
      <c r="B65" s="1" t="n">
        <v>43704</v>
      </c>
      <c r="C65" s="1" t="n">
        <v>45475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42742-2019</t>
        </is>
      </c>
      <c r="B66" s="1" t="n">
        <v>43704</v>
      </c>
      <c r="C66" s="1" t="n">
        <v>45475</v>
      </c>
      <c r="D66" t="inlineStr">
        <is>
          <t>SKÅNE LÄN</t>
        </is>
      </c>
      <c r="E66" t="inlineStr">
        <is>
          <t>OSBY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42552-2019</t>
        </is>
      </c>
      <c r="B67" s="1" t="n">
        <v>43704</v>
      </c>
      <c r="C67" s="1" t="n">
        <v>45475</v>
      </c>
      <c r="D67" t="inlineStr">
        <is>
          <t>SKÅNE LÄN</t>
        </is>
      </c>
      <c r="E67" t="inlineStr">
        <is>
          <t>OSBY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42674-2019</t>
        </is>
      </c>
      <c r="B68" s="1" t="n">
        <v>43704</v>
      </c>
      <c r="C68" s="1" t="n">
        <v>45475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43555-2019</t>
        </is>
      </c>
      <c r="B69" s="1" t="n">
        <v>43706</v>
      </c>
      <c r="C69" s="1" t="n">
        <v>45475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44373-2019</t>
        </is>
      </c>
      <c r="B70" s="1" t="n">
        <v>43711</v>
      </c>
      <c r="C70" s="1" t="n">
        <v>45475</v>
      </c>
      <c r="D70" t="inlineStr">
        <is>
          <t>SKÅNE LÄN</t>
        </is>
      </c>
      <c r="E70" t="inlineStr">
        <is>
          <t>OSBY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44534-2019</t>
        </is>
      </c>
      <c r="B71" s="1" t="n">
        <v>43711</v>
      </c>
      <c r="C71" s="1" t="n">
        <v>45475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44368-2019</t>
        </is>
      </c>
      <c r="B72" s="1" t="n">
        <v>43711</v>
      </c>
      <c r="C72" s="1" t="n">
        <v>45475</v>
      </c>
      <c r="D72" t="inlineStr">
        <is>
          <t>SKÅNE LÄN</t>
        </is>
      </c>
      <c r="E72" t="inlineStr">
        <is>
          <t>OSBY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44346-2019</t>
        </is>
      </c>
      <c r="B73" s="1" t="n">
        <v>43711</v>
      </c>
      <c r="C73" s="1" t="n">
        <v>45475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44532-2019</t>
        </is>
      </c>
      <c r="B74" s="1" t="n">
        <v>43711</v>
      </c>
      <c r="C74" s="1" t="n">
        <v>45475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44493-2019</t>
        </is>
      </c>
      <c r="B75" s="1" t="n">
        <v>43711</v>
      </c>
      <c r="C75" s="1" t="n">
        <v>45475</v>
      </c>
      <c r="D75" t="inlineStr">
        <is>
          <t>SKÅNE LÄN</t>
        </is>
      </c>
      <c r="E75" t="inlineStr">
        <is>
          <t>OSBY</t>
        </is>
      </c>
      <c r="F75" t="inlineStr">
        <is>
          <t>Naturvårdsverket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44831-2019</t>
        </is>
      </c>
      <c r="B76" s="1" t="n">
        <v>43712</v>
      </c>
      <c r="C76" s="1" t="n">
        <v>45475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45867-2019</t>
        </is>
      </c>
      <c r="B77" s="1" t="n">
        <v>43712</v>
      </c>
      <c r="C77" s="1" t="n">
        <v>45475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45308-2019</t>
        </is>
      </c>
      <c r="B78" s="1" t="n">
        <v>43714</v>
      </c>
      <c r="C78" s="1" t="n">
        <v>45475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46006-2019</t>
        </is>
      </c>
      <c r="B79" s="1" t="n">
        <v>43718</v>
      </c>
      <c r="C79" s="1" t="n">
        <v>45475</v>
      </c>
      <c r="D79" t="inlineStr">
        <is>
          <t>SKÅNE LÄN</t>
        </is>
      </c>
      <c r="E79" t="inlineStr">
        <is>
          <t>OSBY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46096-2019</t>
        </is>
      </c>
      <c r="B80" s="1" t="n">
        <v>43718</v>
      </c>
      <c r="C80" s="1" t="n">
        <v>45475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47540-2019</t>
        </is>
      </c>
      <c r="B81" s="1" t="n">
        <v>43724</v>
      </c>
      <c r="C81" s="1" t="n">
        <v>45475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47445-2019</t>
        </is>
      </c>
      <c r="B82" s="1" t="n">
        <v>43724</v>
      </c>
      <c r="C82" s="1" t="n">
        <v>45475</v>
      </c>
      <c r="D82" t="inlineStr">
        <is>
          <t>SKÅNE LÄN</t>
        </is>
      </c>
      <c r="E82" t="inlineStr">
        <is>
          <t>OSBY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47546-2019</t>
        </is>
      </c>
      <c r="B83" s="1" t="n">
        <v>43724</v>
      </c>
      <c r="C83" s="1" t="n">
        <v>45475</v>
      </c>
      <c r="D83" t="inlineStr">
        <is>
          <t>SKÅNE LÄN</t>
        </is>
      </c>
      <c r="E83" t="inlineStr">
        <is>
          <t>OSBY</t>
        </is>
      </c>
      <c r="F83" t="inlineStr">
        <is>
          <t>Naturvårdsverket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48103-2019</t>
        </is>
      </c>
      <c r="B84" s="1" t="n">
        <v>43725</v>
      </c>
      <c r="C84" s="1" t="n">
        <v>45475</v>
      </c>
      <c r="D84" t="inlineStr">
        <is>
          <t>SKÅNE LÄN</t>
        </is>
      </c>
      <c r="E84" t="inlineStr">
        <is>
          <t>OSBY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49311-2019</t>
        </is>
      </c>
      <c r="B85" s="1" t="n">
        <v>43731</v>
      </c>
      <c r="C85" s="1" t="n">
        <v>45475</v>
      </c>
      <c r="D85" t="inlineStr">
        <is>
          <t>SKÅNE LÄN</t>
        </is>
      </c>
      <c r="E85" t="inlineStr">
        <is>
          <t>OSBY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49552-2019</t>
        </is>
      </c>
      <c r="B86" s="1" t="n">
        <v>43732</v>
      </c>
      <c r="C86" s="1" t="n">
        <v>45475</v>
      </c>
      <c r="D86" t="inlineStr">
        <is>
          <t>SKÅNE LÄN</t>
        </is>
      </c>
      <c r="E86" t="inlineStr">
        <is>
          <t>OSBY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50398-2019</t>
        </is>
      </c>
      <c r="B87" s="1" t="n">
        <v>43735</v>
      </c>
      <c r="C87" s="1" t="n">
        <v>45475</v>
      </c>
      <c r="D87" t="inlineStr">
        <is>
          <t>SKÅNE LÄN</t>
        </is>
      </c>
      <c r="E87" t="inlineStr">
        <is>
          <t>OSBY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51990-2019</t>
        </is>
      </c>
      <c r="B88" s="1" t="n">
        <v>43742</v>
      </c>
      <c r="C88" s="1" t="n">
        <v>45475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51982-2019</t>
        </is>
      </c>
      <c r="B89" s="1" t="n">
        <v>43742</v>
      </c>
      <c r="C89" s="1" t="n">
        <v>45475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51988-2019</t>
        </is>
      </c>
      <c r="B90" s="1" t="n">
        <v>43742</v>
      </c>
      <c r="C90" s="1" t="n">
        <v>45475</v>
      </c>
      <c r="D90" t="inlineStr">
        <is>
          <t>SKÅNE LÄN</t>
        </is>
      </c>
      <c r="E90" t="inlineStr">
        <is>
          <t>OSBY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54270-2019</t>
        </is>
      </c>
      <c r="B91" s="1" t="n">
        <v>43753</v>
      </c>
      <c r="C91" s="1" t="n">
        <v>45475</v>
      </c>
      <c r="D91" t="inlineStr">
        <is>
          <t>SKÅNE LÄN</t>
        </is>
      </c>
      <c r="E91" t="inlineStr">
        <is>
          <t>OSBY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56451-2019</t>
        </is>
      </c>
      <c r="B92" s="1" t="n">
        <v>43762</v>
      </c>
      <c r="C92" s="1" t="n">
        <v>45475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57178-2019</t>
        </is>
      </c>
      <c r="B93" s="1" t="n">
        <v>43766</v>
      </c>
      <c r="C93" s="1" t="n">
        <v>45475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57176-2019</t>
        </is>
      </c>
      <c r="B94" s="1" t="n">
        <v>43766</v>
      </c>
      <c r="C94" s="1" t="n">
        <v>45475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57203-2019</t>
        </is>
      </c>
      <c r="B95" s="1" t="n">
        <v>43767</v>
      </c>
      <c r="C95" s="1" t="n">
        <v>45475</v>
      </c>
      <c r="D95" t="inlineStr">
        <is>
          <t>SKÅNE LÄN</t>
        </is>
      </c>
      <c r="E95" t="inlineStr">
        <is>
          <t>OSBY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57402-2019</t>
        </is>
      </c>
      <c r="B96" s="1" t="n">
        <v>43767</v>
      </c>
      <c r="C96" s="1" t="n">
        <v>45475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57191-2019</t>
        </is>
      </c>
      <c r="B97" s="1" t="n">
        <v>43767</v>
      </c>
      <c r="C97" s="1" t="n">
        <v>45475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58023-2019</t>
        </is>
      </c>
      <c r="B98" s="1" t="n">
        <v>43769</v>
      </c>
      <c r="C98" s="1" t="n">
        <v>45475</v>
      </c>
      <c r="D98" t="inlineStr">
        <is>
          <t>SKÅNE LÄN</t>
        </is>
      </c>
      <c r="E98" t="inlineStr">
        <is>
          <t>OSBY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58508-2019</t>
        </is>
      </c>
      <c r="B99" s="1" t="n">
        <v>43773</v>
      </c>
      <c r="C99" s="1" t="n">
        <v>45475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61926-2019</t>
        </is>
      </c>
      <c r="B100" s="1" t="n">
        <v>43781</v>
      </c>
      <c r="C100" s="1" t="n">
        <v>45475</v>
      </c>
      <c r="D100" t="inlineStr">
        <is>
          <t>SKÅNE LÄN</t>
        </is>
      </c>
      <c r="E100" t="inlineStr">
        <is>
          <t>OSBY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61565-2019</t>
        </is>
      </c>
      <c r="B101" s="1" t="n">
        <v>43784</v>
      </c>
      <c r="C101" s="1" t="n">
        <v>45475</v>
      </c>
      <c r="D101" t="inlineStr">
        <is>
          <t>SKÅNE LÄN</t>
        </is>
      </c>
      <c r="E101" t="inlineStr">
        <is>
          <t>OSBY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61567-2019</t>
        </is>
      </c>
      <c r="B102" s="1" t="n">
        <v>43784</v>
      </c>
      <c r="C102" s="1" t="n">
        <v>45475</v>
      </c>
      <c r="D102" t="inlineStr">
        <is>
          <t>SKÅNE LÄN</t>
        </is>
      </c>
      <c r="E102" t="inlineStr">
        <is>
          <t>OSBY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63073-2019</t>
        </is>
      </c>
      <c r="B103" s="1" t="n">
        <v>43791</v>
      </c>
      <c r="C103" s="1" t="n">
        <v>45475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63031-2019</t>
        </is>
      </c>
      <c r="B104" s="1" t="n">
        <v>43791</v>
      </c>
      <c r="C104" s="1" t="n">
        <v>45475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64498-2019</t>
        </is>
      </c>
      <c r="B105" s="1" t="n">
        <v>43798</v>
      </c>
      <c r="C105" s="1" t="n">
        <v>45475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66083-2019</t>
        </is>
      </c>
      <c r="B106" s="1" t="n">
        <v>43807</v>
      </c>
      <c r="C106" s="1" t="n">
        <v>45475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66085-2019</t>
        </is>
      </c>
      <c r="B107" s="1" t="n">
        <v>43807</v>
      </c>
      <c r="C107" s="1" t="n">
        <v>45475</v>
      </c>
      <c r="D107" t="inlineStr">
        <is>
          <t>SKÅNE LÄN</t>
        </is>
      </c>
      <c r="E107" t="inlineStr">
        <is>
          <t>OSBY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68219-2019</t>
        </is>
      </c>
      <c r="B108" s="1" t="n">
        <v>43817</v>
      </c>
      <c r="C108" s="1" t="n">
        <v>45475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1379-2020</t>
        </is>
      </c>
      <c r="B109" s="1" t="n">
        <v>43822</v>
      </c>
      <c r="C109" s="1" t="n">
        <v>45475</v>
      </c>
      <c r="D109" t="inlineStr">
        <is>
          <t>SKÅNE LÄN</t>
        </is>
      </c>
      <c r="E109" t="inlineStr">
        <is>
          <t>OSBY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1382-2020</t>
        </is>
      </c>
      <c r="B110" s="1" t="n">
        <v>43822</v>
      </c>
      <c r="C110" s="1" t="n">
        <v>45475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1372-2020</t>
        </is>
      </c>
      <c r="B111" s="1" t="n">
        <v>43822</v>
      </c>
      <c r="C111" s="1" t="n">
        <v>45475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607-2020</t>
        </is>
      </c>
      <c r="B112" s="1" t="n">
        <v>43838</v>
      </c>
      <c r="C112" s="1" t="n">
        <v>45475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850-2020</t>
        </is>
      </c>
      <c r="B113" s="1" t="n">
        <v>43839</v>
      </c>
      <c r="C113" s="1" t="n">
        <v>45475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849-2020</t>
        </is>
      </c>
      <c r="B114" s="1" t="n">
        <v>43839</v>
      </c>
      <c r="C114" s="1" t="n">
        <v>45475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1413-2020</t>
        </is>
      </c>
      <c r="B115" s="1" t="n">
        <v>43843</v>
      </c>
      <c r="C115" s="1" t="n">
        <v>45475</v>
      </c>
      <c r="D115" t="inlineStr">
        <is>
          <t>SKÅNE LÄN</t>
        </is>
      </c>
      <c r="E115" t="inlineStr">
        <is>
          <t>OSBY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1345-2020</t>
        </is>
      </c>
      <c r="B116" s="1" t="n">
        <v>43843</v>
      </c>
      <c r="C116" s="1" t="n">
        <v>45475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1901-2020</t>
        </is>
      </c>
      <c r="B117" s="1" t="n">
        <v>43845</v>
      </c>
      <c r="C117" s="1" t="n">
        <v>45475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3965-2020</t>
        </is>
      </c>
      <c r="B118" s="1" t="n">
        <v>43854</v>
      </c>
      <c r="C118" s="1" t="n">
        <v>45475</v>
      </c>
      <c r="D118" t="inlineStr">
        <is>
          <t>SKÅNE LÄN</t>
        </is>
      </c>
      <c r="E118" t="inlineStr">
        <is>
          <t>OSBY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4351-2020</t>
        </is>
      </c>
      <c r="B119" s="1" t="n">
        <v>43857</v>
      </c>
      <c r="C119" s="1" t="n">
        <v>45475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4385-2020</t>
        </is>
      </c>
      <c r="B120" s="1" t="n">
        <v>43858</v>
      </c>
      <c r="C120" s="1" t="n">
        <v>45475</v>
      </c>
      <c r="D120" t="inlineStr">
        <is>
          <t>SKÅNE LÄN</t>
        </is>
      </c>
      <c r="E120" t="inlineStr">
        <is>
          <t>OSBY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5852-2020</t>
        </is>
      </c>
      <c r="B121" s="1" t="n">
        <v>43864</v>
      </c>
      <c r="C121" s="1" t="n">
        <v>45475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5855-2020</t>
        </is>
      </c>
      <c r="B122" s="1" t="n">
        <v>43864</v>
      </c>
      <c r="C122" s="1" t="n">
        <v>45475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8632-2020</t>
        </is>
      </c>
      <c r="B123" s="1" t="n">
        <v>43875</v>
      </c>
      <c r="C123" s="1" t="n">
        <v>45475</v>
      </c>
      <c r="D123" t="inlineStr">
        <is>
          <t>SKÅNE LÄN</t>
        </is>
      </c>
      <c r="E123" t="inlineStr">
        <is>
          <t>OSBY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8660-2020</t>
        </is>
      </c>
      <c r="B124" s="1" t="n">
        <v>43878</v>
      </c>
      <c r="C124" s="1" t="n">
        <v>45475</v>
      </c>
      <c r="D124" t="inlineStr">
        <is>
          <t>SKÅNE LÄN</t>
        </is>
      </c>
      <c r="E124" t="inlineStr">
        <is>
          <t>OSBY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8968-2020</t>
        </is>
      </c>
      <c r="B125" s="1" t="n">
        <v>43878</v>
      </c>
      <c r="C125" s="1" t="n">
        <v>45475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12657-2020</t>
        </is>
      </c>
      <c r="B126" s="1" t="n">
        <v>43878</v>
      </c>
      <c r="C126" s="1" t="n">
        <v>45475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8641-2020</t>
        </is>
      </c>
      <c r="B127" s="1" t="n">
        <v>43878</v>
      </c>
      <c r="C127" s="1" t="n">
        <v>45475</v>
      </c>
      <c r="D127" t="inlineStr">
        <is>
          <t>SKÅNE LÄN</t>
        </is>
      </c>
      <c r="E127" t="inlineStr">
        <is>
          <t>OSBY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12661-2020</t>
        </is>
      </c>
      <c r="B128" s="1" t="n">
        <v>43878</v>
      </c>
      <c r="C128" s="1" t="n">
        <v>45475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9259-2020</t>
        </is>
      </c>
      <c r="B129" s="1" t="n">
        <v>43879</v>
      </c>
      <c r="C129" s="1" t="n">
        <v>45475</v>
      </c>
      <c r="D129" t="inlineStr">
        <is>
          <t>SKÅNE LÄN</t>
        </is>
      </c>
      <c r="E129" t="inlineStr">
        <is>
          <t>OSBY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9778-2020</t>
        </is>
      </c>
      <c r="B130" s="1" t="n">
        <v>43881</v>
      </c>
      <c r="C130" s="1" t="n">
        <v>45475</v>
      </c>
      <c r="D130" t="inlineStr">
        <is>
          <t>SKÅNE LÄN</t>
        </is>
      </c>
      <c r="E130" t="inlineStr">
        <is>
          <t>OSBY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10445-2020</t>
        </is>
      </c>
      <c r="B131" s="1" t="n">
        <v>43886</v>
      </c>
      <c r="C131" s="1" t="n">
        <v>45475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10149-2020</t>
        </is>
      </c>
      <c r="B132" s="1" t="n">
        <v>43887</v>
      </c>
      <c r="C132" s="1" t="n">
        <v>45475</v>
      </c>
      <c r="D132" t="inlineStr">
        <is>
          <t>SKÅNE LÄN</t>
        </is>
      </c>
      <c r="E132" t="inlineStr">
        <is>
          <t>OSBY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12175-2020</t>
        </is>
      </c>
      <c r="B133" s="1" t="n">
        <v>43895</v>
      </c>
      <c r="C133" s="1" t="n">
        <v>45475</v>
      </c>
      <c r="D133" t="inlineStr">
        <is>
          <t>SKÅNE LÄN</t>
        </is>
      </c>
      <c r="E133" t="inlineStr">
        <is>
          <t>OSBY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12401-2020</t>
        </is>
      </c>
      <c r="B134" s="1" t="n">
        <v>43896</v>
      </c>
      <c r="C134" s="1" t="n">
        <v>45475</v>
      </c>
      <c r="D134" t="inlineStr">
        <is>
          <t>SKÅNE LÄN</t>
        </is>
      </c>
      <c r="E134" t="inlineStr">
        <is>
          <t>OSBY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12400-2020</t>
        </is>
      </c>
      <c r="B135" s="1" t="n">
        <v>43896</v>
      </c>
      <c r="C135" s="1" t="n">
        <v>45475</v>
      </c>
      <c r="D135" t="inlineStr">
        <is>
          <t>SKÅNE LÄN</t>
        </is>
      </c>
      <c r="E135" t="inlineStr">
        <is>
          <t>OSBY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13977-2020</t>
        </is>
      </c>
      <c r="B136" s="1" t="n">
        <v>43906</v>
      </c>
      <c r="C136" s="1" t="n">
        <v>45475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14075-2020</t>
        </is>
      </c>
      <c r="B137" s="1" t="n">
        <v>43907</v>
      </c>
      <c r="C137" s="1" t="n">
        <v>45475</v>
      </c>
      <c r="D137" t="inlineStr">
        <is>
          <t>SKÅNE LÄN</t>
        </is>
      </c>
      <c r="E137" t="inlineStr">
        <is>
          <t>OSBY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14538-2020</t>
        </is>
      </c>
      <c r="B138" s="1" t="n">
        <v>43908</v>
      </c>
      <c r="C138" s="1" t="n">
        <v>45475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15778-2020</t>
        </is>
      </c>
      <c r="B139" s="1" t="n">
        <v>43915</v>
      </c>
      <c r="C139" s="1" t="n">
        <v>45475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17271-2020</t>
        </is>
      </c>
      <c r="B140" s="1" t="n">
        <v>43922</v>
      </c>
      <c r="C140" s="1" t="n">
        <v>45475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17983-2020</t>
        </is>
      </c>
      <c r="B141" s="1" t="n">
        <v>43926</v>
      </c>
      <c r="C141" s="1" t="n">
        <v>45475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18838-2020</t>
        </is>
      </c>
      <c r="B142" s="1" t="n">
        <v>43935</v>
      </c>
      <c r="C142" s="1" t="n">
        <v>45475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19781-2020</t>
        </is>
      </c>
      <c r="B143" s="1" t="n">
        <v>43942</v>
      </c>
      <c r="C143" s="1" t="n">
        <v>45475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20555-2020</t>
        </is>
      </c>
      <c r="B144" s="1" t="n">
        <v>43948</v>
      </c>
      <c r="C144" s="1" t="n">
        <v>45475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20715-2020</t>
        </is>
      </c>
      <c r="B145" s="1" t="n">
        <v>43949</v>
      </c>
      <c r="C145" s="1" t="n">
        <v>45475</v>
      </c>
      <c r="D145" t="inlineStr">
        <is>
          <t>SKÅNE LÄN</t>
        </is>
      </c>
      <c r="E145" t="inlineStr">
        <is>
          <t>OSBY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21011-2020</t>
        </is>
      </c>
      <c r="B146" s="1" t="n">
        <v>43950</v>
      </c>
      <c r="C146" s="1" t="n">
        <v>45475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21776-2020</t>
        </is>
      </c>
      <c r="B147" s="1" t="n">
        <v>43957</v>
      </c>
      <c r="C147" s="1" t="n">
        <v>45475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23238-2020</t>
        </is>
      </c>
      <c r="B148" s="1" t="n">
        <v>43966</v>
      </c>
      <c r="C148" s="1" t="n">
        <v>45475</v>
      </c>
      <c r="D148" t="inlineStr">
        <is>
          <t>SKÅNE LÄN</t>
        </is>
      </c>
      <c r="E148" t="inlineStr">
        <is>
          <t>OSBY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24299-2020</t>
        </is>
      </c>
      <c r="B149" s="1" t="n">
        <v>43976</v>
      </c>
      <c r="C149" s="1" t="n">
        <v>45475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24332-2020</t>
        </is>
      </c>
      <c r="B150" s="1" t="n">
        <v>43976</v>
      </c>
      <c r="C150" s="1" t="n">
        <v>45475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24344-2020</t>
        </is>
      </c>
      <c r="B151" s="1" t="n">
        <v>43976</v>
      </c>
      <c r="C151" s="1" t="n">
        <v>45475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24450-2020</t>
        </is>
      </c>
      <c r="B152" s="1" t="n">
        <v>43976</v>
      </c>
      <c r="C152" s="1" t="n">
        <v>45475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24486-2020</t>
        </is>
      </c>
      <c r="B153" s="1" t="n">
        <v>43976</v>
      </c>
      <c r="C153" s="1" t="n">
        <v>45475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24928-2020</t>
        </is>
      </c>
      <c r="B154" s="1" t="n">
        <v>43979</v>
      </c>
      <c r="C154" s="1" t="n">
        <v>45475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25849-2020</t>
        </is>
      </c>
      <c r="B155" s="1" t="n">
        <v>43984</v>
      </c>
      <c r="C155" s="1" t="n">
        <v>45475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25983-2020</t>
        </is>
      </c>
      <c r="B156" s="1" t="n">
        <v>43985</v>
      </c>
      <c r="C156" s="1" t="n">
        <v>45475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26338-2020</t>
        </is>
      </c>
      <c r="B157" s="1" t="n">
        <v>43986</v>
      </c>
      <c r="C157" s="1" t="n">
        <v>45475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26335-2020</t>
        </is>
      </c>
      <c r="B158" s="1" t="n">
        <v>43986</v>
      </c>
      <c r="C158" s="1" t="n">
        <v>45475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27897-2020</t>
        </is>
      </c>
      <c r="B159" s="1" t="n">
        <v>43996</v>
      </c>
      <c r="C159" s="1" t="n">
        <v>45475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28739-2020</t>
        </is>
      </c>
      <c r="B160" s="1" t="n">
        <v>43999</v>
      </c>
      <c r="C160" s="1" t="n">
        <v>45475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29822-2020</t>
        </is>
      </c>
      <c r="B161" s="1" t="n">
        <v>44005</v>
      </c>
      <c r="C161" s="1" t="n">
        <v>45475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30731-2020</t>
        </is>
      </c>
      <c r="B162" s="1" t="n">
        <v>44008</v>
      </c>
      <c r="C162" s="1" t="n">
        <v>45475</v>
      </c>
      <c r="D162" t="inlineStr">
        <is>
          <t>SKÅNE LÄN</t>
        </is>
      </c>
      <c r="E162" t="inlineStr">
        <is>
          <t>OSBY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31774-2020</t>
        </is>
      </c>
      <c r="B163" s="1" t="n">
        <v>44014</v>
      </c>
      <c r="C163" s="1" t="n">
        <v>45475</v>
      </c>
      <c r="D163" t="inlineStr">
        <is>
          <t>SKÅNE LÄN</t>
        </is>
      </c>
      <c r="E163" t="inlineStr">
        <is>
          <t>OSBY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31787-2020</t>
        </is>
      </c>
      <c r="B164" s="1" t="n">
        <v>44014</v>
      </c>
      <c r="C164" s="1" t="n">
        <v>45475</v>
      </c>
      <c r="D164" t="inlineStr">
        <is>
          <t>SKÅNE LÄN</t>
        </is>
      </c>
      <c r="E164" t="inlineStr">
        <is>
          <t>OSBY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31961-2020</t>
        </is>
      </c>
      <c r="B165" s="1" t="n">
        <v>44014</v>
      </c>
      <c r="C165" s="1" t="n">
        <v>45475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32280-2020</t>
        </is>
      </c>
      <c r="B166" s="1" t="n">
        <v>44015</v>
      </c>
      <c r="C166" s="1" t="n">
        <v>45475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32281-2020</t>
        </is>
      </c>
      <c r="B167" s="1" t="n">
        <v>44015</v>
      </c>
      <c r="C167" s="1" t="n">
        <v>45475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32287-2020</t>
        </is>
      </c>
      <c r="B168" s="1" t="n">
        <v>44015</v>
      </c>
      <c r="C168" s="1" t="n">
        <v>45475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32687-2020</t>
        </is>
      </c>
      <c r="B169" s="1" t="n">
        <v>44019</v>
      </c>
      <c r="C169" s="1" t="n">
        <v>45475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34355-2020</t>
        </is>
      </c>
      <c r="B170" s="1" t="n">
        <v>44028</v>
      </c>
      <c r="C170" s="1" t="n">
        <v>45475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35460-2020</t>
        </is>
      </c>
      <c r="B171" s="1" t="n">
        <v>44042</v>
      </c>
      <c r="C171" s="1" t="n">
        <v>45475</v>
      </c>
      <c r="D171" t="inlineStr">
        <is>
          <t>SKÅNE LÄN</t>
        </is>
      </c>
      <c r="E171" t="inlineStr">
        <is>
          <t>OSBY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36178-2020</t>
        </is>
      </c>
      <c r="B172" s="1" t="n">
        <v>44048</v>
      </c>
      <c r="C172" s="1" t="n">
        <v>45475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36319-2020</t>
        </is>
      </c>
      <c r="B173" s="1" t="n">
        <v>44049</v>
      </c>
      <c r="C173" s="1" t="n">
        <v>45475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37311-2020</t>
        </is>
      </c>
      <c r="B174" s="1" t="n">
        <v>44055</v>
      </c>
      <c r="C174" s="1" t="n">
        <v>45475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37825-2020</t>
        </is>
      </c>
      <c r="B175" s="1" t="n">
        <v>44057</v>
      </c>
      <c r="C175" s="1" t="n">
        <v>45475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38350-2020</t>
        </is>
      </c>
      <c r="B176" s="1" t="n">
        <v>44060</v>
      </c>
      <c r="C176" s="1" t="n">
        <v>45475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38356-2020</t>
        </is>
      </c>
      <c r="B177" s="1" t="n">
        <v>44060</v>
      </c>
      <c r="C177" s="1" t="n">
        <v>45475</v>
      </c>
      <c r="D177" t="inlineStr">
        <is>
          <t>SKÅNE LÄN</t>
        </is>
      </c>
      <c r="E177" t="inlineStr">
        <is>
          <t>OSBY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38354-2020</t>
        </is>
      </c>
      <c r="B178" s="1" t="n">
        <v>44060</v>
      </c>
      <c r="C178" s="1" t="n">
        <v>45475</v>
      </c>
      <c r="D178" t="inlineStr">
        <is>
          <t>SKÅNE LÄN</t>
        </is>
      </c>
      <c r="E178" t="inlineStr">
        <is>
          <t>OSBY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38589-2020</t>
        </is>
      </c>
      <c r="B179" s="1" t="n">
        <v>44061</v>
      </c>
      <c r="C179" s="1" t="n">
        <v>45475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39746-2020</t>
        </is>
      </c>
      <c r="B180" s="1" t="n">
        <v>44067</v>
      </c>
      <c r="C180" s="1" t="n">
        <v>45475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42729-2020</t>
        </is>
      </c>
      <c r="B181" s="1" t="n">
        <v>44077</v>
      </c>
      <c r="C181" s="1" t="n">
        <v>45475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43795-2020</t>
        </is>
      </c>
      <c r="B182" s="1" t="n">
        <v>44082</v>
      </c>
      <c r="C182" s="1" t="n">
        <v>45475</v>
      </c>
      <c r="D182" t="inlineStr">
        <is>
          <t>SKÅNE LÄN</t>
        </is>
      </c>
      <c r="E182" t="inlineStr">
        <is>
          <t>OSBY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44112-2020</t>
        </is>
      </c>
      <c r="B183" s="1" t="n">
        <v>44082</v>
      </c>
      <c r="C183" s="1" t="n">
        <v>45475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44515-2020</t>
        </is>
      </c>
      <c r="B184" s="1" t="n">
        <v>44085</v>
      </c>
      <c r="C184" s="1" t="n">
        <v>45475</v>
      </c>
      <c r="D184" t="inlineStr">
        <is>
          <t>SKÅNE LÄN</t>
        </is>
      </c>
      <c r="E184" t="inlineStr">
        <is>
          <t>OSBY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44651-2020</t>
        </is>
      </c>
      <c r="B185" s="1" t="n">
        <v>44085</v>
      </c>
      <c r="C185" s="1" t="n">
        <v>45475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45138-2020</t>
        </is>
      </c>
      <c r="B186" s="1" t="n">
        <v>44088</v>
      </c>
      <c r="C186" s="1" t="n">
        <v>45475</v>
      </c>
      <c r="D186" t="inlineStr">
        <is>
          <t>SKÅNE LÄN</t>
        </is>
      </c>
      <c r="E186" t="inlineStr">
        <is>
          <t>OSBY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46619-2020</t>
        </is>
      </c>
      <c r="B187" s="1" t="n">
        <v>44089</v>
      </c>
      <c r="C187" s="1" t="n">
        <v>45475</v>
      </c>
      <c r="D187" t="inlineStr">
        <is>
          <t>SKÅNE LÄN</t>
        </is>
      </c>
      <c r="E187" t="inlineStr">
        <is>
          <t>OSBY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46170-2020</t>
        </is>
      </c>
      <c r="B188" s="1" t="n">
        <v>44092</v>
      </c>
      <c r="C188" s="1" t="n">
        <v>45475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46172-2020</t>
        </is>
      </c>
      <c r="B189" s="1" t="n">
        <v>44092</v>
      </c>
      <c r="C189" s="1" t="n">
        <v>45475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48223-2020</t>
        </is>
      </c>
      <c r="B190" s="1" t="n">
        <v>44102</v>
      </c>
      <c r="C190" s="1" t="n">
        <v>45475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48268-2020</t>
        </is>
      </c>
      <c r="B191" s="1" t="n">
        <v>44102</v>
      </c>
      <c r="C191" s="1" t="n">
        <v>45475</v>
      </c>
      <c r="D191" t="inlineStr">
        <is>
          <t>SKÅNE LÄN</t>
        </is>
      </c>
      <c r="E191" t="inlineStr">
        <is>
          <t>OSBY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48412-2020</t>
        </is>
      </c>
      <c r="B192" s="1" t="n">
        <v>44102</v>
      </c>
      <c r="C192" s="1" t="n">
        <v>45475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49823-2020</t>
        </is>
      </c>
      <c r="B193" s="1" t="n">
        <v>44106</v>
      </c>
      <c r="C193" s="1" t="n">
        <v>45475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50094-2020</t>
        </is>
      </c>
      <c r="B194" s="1" t="n">
        <v>44109</v>
      </c>
      <c r="C194" s="1" t="n">
        <v>45475</v>
      </c>
      <c r="D194" t="inlineStr">
        <is>
          <t>SKÅNE LÄN</t>
        </is>
      </c>
      <c r="E194" t="inlineStr">
        <is>
          <t>OSBY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51588-2020</t>
        </is>
      </c>
      <c r="B195" s="1" t="n">
        <v>44113</v>
      </c>
      <c r="C195" s="1" t="n">
        <v>45475</v>
      </c>
      <c r="D195" t="inlineStr">
        <is>
          <t>SKÅNE LÄN</t>
        </is>
      </c>
      <c r="E195" t="inlineStr">
        <is>
          <t>OSBY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51576-2020</t>
        </is>
      </c>
      <c r="B196" s="1" t="n">
        <v>44113</v>
      </c>
      <c r="C196" s="1" t="n">
        <v>45475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53159-2020</t>
        </is>
      </c>
      <c r="B197" s="1" t="n">
        <v>44120</v>
      </c>
      <c r="C197" s="1" t="n">
        <v>45475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53658-2020</t>
        </is>
      </c>
      <c r="B198" s="1" t="n">
        <v>44124</v>
      </c>
      <c r="C198" s="1" t="n">
        <v>45475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53656-2020</t>
        </is>
      </c>
      <c r="B199" s="1" t="n">
        <v>44124</v>
      </c>
      <c r="C199" s="1" t="n">
        <v>45475</v>
      </c>
      <c r="D199" t="inlineStr">
        <is>
          <t>SKÅNE LÄN</t>
        </is>
      </c>
      <c r="E199" t="inlineStr">
        <is>
          <t>OSBY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54544-2020</t>
        </is>
      </c>
      <c r="B200" s="1" t="n">
        <v>44126</v>
      </c>
      <c r="C200" s="1" t="n">
        <v>45475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54545-2020</t>
        </is>
      </c>
      <c r="B201" s="1" t="n">
        <v>44126</v>
      </c>
      <c r="C201" s="1" t="n">
        <v>45475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54965-2020</t>
        </is>
      </c>
      <c r="B202" s="1" t="n">
        <v>44130</v>
      </c>
      <c r="C202" s="1" t="n">
        <v>45475</v>
      </c>
      <c r="D202" t="inlineStr">
        <is>
          <t>SKÅNE LÄN</t>
        </is>
      </c>
      <c r="E202" t="inlineStr">
        <is>
          <t>OSBY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56734-2020</t>
        </is>
      </c>
      <c r="B203" s="1" t="n">
        <v>44137</v>
      </c>
      <c r="C203" s="1" t="n">
        <v>45475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57669-2020</t>
        </is>
      </c>
      <c r="B204" s="1" t="n">
        <v>44140</v>
      </c>
      <c r="C204" s="1" t="n">
        <v>45475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57671-2020</t>
        </is>
      </c>
      <c r="B205" s="1" t="n">
        <v>44140</v>
      </c>
      <c r="C205" s="1" t="n">
        <v>45475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57956-2020</t>
        </is>
      </c>
      <c r="B206" s="1" t="n">
        <v>44143</v>
      </c>
      <c r="C206" s="1" t="n">
        <v>45475</v>
      </c>
      <c r="D206" t="inlineStr">
        <is>
          <t>SKÅNE LÄN</t>
        </is>
      </c>
      <c r="E206" t="inlineStr">
        <is>
          <t>OSBY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60682-2020</t>
        </is>
      </c>
      <c r="B207" s="1" t="n">
        <v>44153</v>
      </c>
      <c r="C207" s="1" t="n">
        <v>45475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61592-2020</t>
        </is>
      </c>
      <c r="B208" s="1" t="n">
        <v>44158</v>
      </c>
      <c r="C208" s="1" t="n">
        <v>45475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62111-2020</t>
        </is>
      </c>
      <c r="B209" s="1" t="n">
        <v>44159</v>
      </c>
      <c r="C209" s="1" t="n">
        <v>45475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62122-2020</t>
        </is>
      </c>
      <c r="B210" s="1" t="n">
        <v>44159</v>
      </c>
      <c r="C210" s="1" t="n">
        <v>45475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62648-2020</t>
        </is>
      </c>
      <c r="B211" s="1" t="n">
        <v>44161</v>
      </c>
      <c r="C211" s="1" t="n">
        <v>45475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64161-2020</t>
        </is>
      </c>
      <c r="B212" s="1" t="n">
        <v>44167</v>
      </c>
      <c r="C212" s="1" t="n">
        <v>45475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65640-2020</t>
        </is>
      </c>
      <c r="B213" s="1" t="n">
        <v>44174</v>
      </c>
      <c r="C213" s="1" t="n">
        <v>45475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66543-2020</t>
        </is>
      </c>
      <c r="B214" s="1" t="n">
        <v>44179</v>
      </c>
      <c r="C214" s="1" t="n">
        <v>45475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66941-2020</t>
        </is>
      </c>
      <c r="B215" s="1" t="n">
        <v>44180</v>
      </c>
      <c r="C215" s="1" t="n">
        <v>45475</v>
      </c>
      <c r="D215" t="inlineStr">
        <is>
          <t>SKÅNE LÄN</t>
        </is>
      </c>
      <c r="E215" t="inlineStr">
        <is>
          <t>OSBY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68053-2020</t>
        </is>
      </c>
      <c r="B216" s="1" t="n">
        <v>44183</v>
      </c>
      <c r="C216" s="1" t="n">
        <v>45475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68402-2020</t>
        </is>
      </c>
      <c r="B217" s="1" t="n">
        <v>44186</v>
      </c>
      <c r="C217" s="1" t="n">
        <v>45475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69160-2020</t>
        </is>
      </c>
      <c r="B218" s="1" t="n">
        <v>44188</v>
      </c>
      <c r="C218" s="1" t="n">
        <v>45475</v>
      </c>
      <c r="D218" t="inlineStr">
        <is>
          <t>SKÅNE LÄN</t>
        </is>
      </c>
      <c r="E218" t="inlineStr">
        <is>
          <t>OSBY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69530-2020</t>
        </is>
      </c>
      <c r="B219" s="1" t="n">
        <v>44194</v>
      </c>
      <c r="C219" s="1" t="n">
        <v>45475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121-2021</t>
        </is>
      </c>
      <c r="B220" s="1" t="n">
        <v>44200</v>
      </c>
      <c r="C220" s="1" t="n">
        <v>45475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155-2021</t>
        </is>
      </c>
      <c r="B221" s="1" t="n">
        <v>44200</v>
      </c>
      <c r="C221" s="1" t="n">
        <v>45475</v>
      </c>
      <c r="D221" t="inlineStr">
        <is>
          <t>SKÅNE LÄN</t>
        </is>
      </c>
      <c r="E221" t="inlineStr">
        <is>
          <t>OSBY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157-2021</t>
        </is>
      </c>
      <c r="B222" s="1" t="n">
        <v>44200</v>
      </c>
      <c r="C222" s="1" t="n">
        <v>45475</v>
      </c>
      <c r="D222" t="inlineStr">
        <is>
          <t>SKÅNE LÄN</t>
        </is>
      </c>
      <c r="E222" t="inlineStr">
        <is>
          <t>OSBY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1318-2021</t>
        </is>
      </c>
      <c r="B223" s="1" t="n">
        <v>44208</v>
      </c>
      <c r="C223" s="1" t="n">
        <v>45475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1828-2021</t>
        </is>
      </c>
      <c r="B224" s="1" t="n">
        <v>44210</v>
      </c>
      <c r="C224" s="1" t="n">
        <v>45475</v>
      </c>
      <c r="D224" t="inlineStr">
        <is>
          <t>SKÅNE LÄN</t>
        </is>
      </c>
      <c r="E224" t="inlineStr">
        <is>
          <t>OSBY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2399-2021</t>
        </is>
      </c>
      <c r="B225" s="1" t="n">
        <v>44214</v>
      </c>
      <c r="C225" s="1" t="n">
        <v>45475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2412-2021</t>
        </is>
      </c>
      <c r="B226" s="1" t="n">
        <v>44214</v>
      </c>
      <c r="C226" s="1" t="n">
        <v>45475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2408-2021</t>
        </is>
      </c>
      <c r="B227" s="1" t="n">
        <v>44214</v>
      </c>
      <c r="C227" s="1" t="n">
        <v>45475</v>
      </c>
      <c r="D227" t="inlineStr">
        <is>
          <t>SKÅNE LÄN</t>
        </is>
      </c>
      <c r="E227" t="inlineStr">
        <is>
          <t>OSBY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3075-2021</t>
        </is>
      </c>
      <c r="B228" s="1" t="n">
        <v>44216</v>
      </c>
      <c r="C228" s="1" t="n">
        <v>45475</v>
      </c>
      <c r="D228" t="inlineStr">
        <is>
          <t>SKÅNE LÄN</t>
        </is>
      </c>
      <c r="E228" t="inlineStr">
        <is>
          <t>OSBY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3113-2021</t>
        </is>
      </c>
      <c r="B229" s="1" t="n">
        <v>44217</v>
      </c>
      <c r="C229" s="1" t="n">
        <v>45475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3834-2021</t>
        </is>
      </c>
      <c r="B230" s="1" t="n">
        <v>44217</v>
      </c>
      <c r="C230" s="1" t="n">
        <v>45475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3516-2021</t>
        </is>
      </c>
      <c r="B231" s="1" t="n">
        <v>44218</v>
      </c>
      <c r="C231" s="1" t="n">
        <v>45475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3402-2021</t>
        </is>
      </c>
      <c r="B232" s="1" t="n">
        <v>44218</v>
      </c>
      <c r="C232" s="1" t="n">
        <v>45475</v>
      </c>
      <c r="D232" t="inlineStr">
        <is>
          <t>SKÅNE LÄN</t>
        </is>
      </c>
      <c r="E232" t="inlineStr">
        <is>
          <t>OSBY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3472-2021</t>
        </is>
      </c>
      <c r="B233" s="1" t="n">
        <v>44218</v>
      </c>
      <c r="C233" s="1" t="n">
        <v>45475</v>
      </c>
      <c r="D233" t="inlineStr">
        <is>
          <t>SKÅNE LÄN</t>
        </is>
      </c>
      <c r="E233" t="inlineStr">
        <is>
          <t>OSBY</t>
        </is>
      </c>
      <c r="F233" t="inlineStr">
        <is>
          <t>Naturvårdsverket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4584-2021</t>
        </is>
      </c>
      <c r="B234" s="1" t="n">
        <v>44224</v>
      </c>
      <c r="C234" s="1" t="n">
        <v>45475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4918-2021</t>
        </is>
      </c>
      <c r="B235" s="1" t="n">
        <v>44226</v>
      </c>
      <c r="C235" s="1" t="n">
        <v>45475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5537-2021</t>
        </is>
      </c>
      <c r="B236" s="1" t="n">
        <v>44228</v>
      </c>
      <c r="C236" s="1" t="n">
        <v>45475</v>
      </c>
      <c r="D236" t="inlineStr">
        <is>
          <t>SKÅNE LÄN</t>
        </is>
      </c>
      <c r="E236" t="inlineStr">
        <is>
          <t>OSBY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6397-2021</t>
        </is>
      </c>
      <c r="B237" s="1" t="n">
        <v>44235</v>
      </c>
      <c r="C237" s="1" t="n">
        <v>45475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8972-2021</t>
        </is>
      </c>
      <c r="B238" s="1" t="n">
        <v>44246</v>
      </c>
      <c r="C238" s="1" t="n">
        <v>45475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8966-2021</t>
        </is>
      </c>
      <c r="B239" s="1" t="n">
        <v>44246</v>
      </c>
      <c r="C239" s="1" t="n">
        <v>45475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8961-2021</t>
        </is>
      </c>
      <c r="B240" s="1" t="n">
        <v>44246</v>
      </c>
      <c r="C240" s="1" t="n">
        <v>45475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8865-2021</t>
        </is>
      </c>
      <c r="B241" s="1" t="n">
        <v>44247</v>
      </c>
      <c r="C241" s="1" t="n">
        <v>45475</v>
      </c>
      <c r="D241" t="inlineStr">
        <is>
          <t>SKÅNE LÄN</t>
        </is>
      </c>
      <c r="E241" t="inlineStr">
        <is>
          <t>OSBY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9100-2021</t>
        </is>
      </c>
      <c r="B242" s="1" t="n">
        <v>44249</v>
      </c>
      <c r="C242" s="1" t="n">
        <v>45475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9301-2021</t>
        </is>
      </c>
      <c r="B243" s="1" t="n">
        <v>44250</v>
      </c>
      <c r="C243" s="1" t="n">
        <v>45475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9659-2021</t>
        </is>
      </c>
      <c r="B244" s="1" t="n">
        <v>44252</v>
      </c>
      <c r="C244" s="1" t="n">
        <v>45475</v>
      </c>
      <c r="D244" t="inlineStr">
        <is>
          <t>SKÅNE LÄN</t>
        </is>
      </c>
      <c r="E244" t="inlineStr">
        <is>
          <t>OSBY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11212-2021</t>
        </is>
      </c>
      <c r="B245" s="1" t="n">
        <v>44263</v>
      </c>
      <c r="C245" s="1" t="n">
        <v>45475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12996-2021</t>
        </is>
      </c>
      <c r="B246" s="1" t="n">
        <v>44271</v>
      </c>
      <c r="C246" s="1" t="n">
        <v>45475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12880-2021</t>
        </is>
      </c>
      <c r="B247" s="1" t="n">
        <v>44271</v>
      </c>
      <c r="C247" s="1" t="n">
        <v>45475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14731-2021</t>
        </is>
      </c>
      <c r="B248" s="1" t="n">
        <v>44280</v>
      </c>
      <c r="C248" s="1" t="n">
        <v>45475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15172-2021</t>
        </is>
      </c>
      <c r="B249" s="1" t="n">
        <v>44284</v>
      </c>
      <c r="C249" s="1" t="n">
        <v>45475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15510-2021</t>
        </is>
      </c>
      <c r="B250" s="1" t="n">
        <v>44285</v>
      </c>
      <c r="C250" s="1" t="n">
        <v>45475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15509-2021</t>
        </is>
      </c>
      <c r="B251" s="1" t="n">
        <v>44285</v>
      </c>
      <c r="C251" s="1" t="n">
        <v>45475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15511-2021</t>
        </is>
      </c>
      <c r="B252" s="1" t="n">
        <v>44285</v>
      </c>
      <c r="C252" s="1" t="n">
        <v>45475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19255-2021</t>
        </is>
      </c>
      <c r="B253" s="1" t="n">
        <v>44309</v>
      </c>
      <c r="C253" s="1" t="n">
        <v>45475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</v>
      </c>
      <c r="C254" s="1" t="n">
        <v>45475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21201-2021</t>
        </is>
      </c>
      <c r="B255" s="1" t="n">
        <v>44320</v>
      </c>
      <c r="C255" s="1" t="n">
        <v>45475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21172-2021</t>
        </is>
      </c>
      <c r="B256" s="1" t="n">
        <v>44320</v>
      </c>
      <c r="C256" s="1" t="n">
        <v>45475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21615-2021</t>
        </is>
      </c>
      <c r="B257" s="1" t="n">
        <v>44321</v>
      </c>
      <c r="C257" s="1" t="n">
        <v>45475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22947-2021</t>
        </is>
      </c>
      <c r="B258" s="1" t="n">
        <v>44327</v>
      </c>
      <c r="C258" s="1" t="n">
        <v>45475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23952-2021</t>
        </is>
      </c>
      <c r="B259" s="1" t="n">
        <v>44335</v>
      </c>
      <c r="C259" s="1" t="n">
        <v>45475</v>
      </c>
      <c r="D259" t="inlineStr">
        <is>
          <t>SKÅNE LÄN</t>
        </is>
      </c>
      <c r="E259" t="inlineStr">
        <is>
          <t>OSBY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24884-2021</t>
        </is>
      </c>
      <c r="B260" s="1" t="n">
        <v>44341</v>
      </c>
      <c r="C260" s="1" t="n">
        <v>45475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25175-2021</t>
        </is>
      </c>
      <c r="B261" s="1" t="n">
        <v>44342</v>
      </c>
      <c r="C261" s="1" t="n">
        <v>45475</v>
      </c>
      <c r="D261" t="inlineStr">
        <is>
          <t>SKÅNE LÄN</t>
        </is>
      </c>
      <c r="E261" t="inlineStr">
        <is>
          <t>OSBY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26707-2021</t>
        </is>
      </c>
      <c r="B262" s="1" t="n">
        <v>44349</v>
      </c>
      <c r="C262" s="1" t="n">
        <v>45475</v>
      </c>
      <c r="D262" t="inlineStr">
        <is>
          <t>SKÅNE LÄN</t>
        </is>
      </c>
      <c r="E262" t="inlineStr">
        <is>
          <t>OSBY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26928-2021</t>
        </is>
      </c>
      <c r="B263" s="1" t="n">
        <v>44349</v>
      </c>
      <c r="C263" s="1" t="n">
        <v>45475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27568-2021</t>
        </is>
      </c>
      <c r="B264" s="1" t="n">
        <v>44353</v>
      </c>
      <c r="C264" s="1" t="n">
        <v>45475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27914-2021</t>
        </is>
      </c>
      <c r="B265" s="1" t="n">
        <v>44354</v>
      </c>
      <c r="C265" s="1" t="n">
        <v>45475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28227-2021</t>
        </is>
      </c>
      <c r="B266" s="1" t="n">
        <v>44355</v>
      </c>
      <c r="C266" s="1" t="n">
        <v>45475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28678-2021</t>
        </is>
      </c>
      <c r="B267" s="1" t="n">
        <v>44357</v>
      </c>
      <c r="C267" s="1" t="n">
        <v>45475</v>
      </c>
      <c r="D267" t="inlineStr">
        <is>
          <t>SKÅNE LÄN</t>
        </is>
      </c>
      <c r="E267" t="inlineStr">
        <is>
          <t>OSBY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31491-2021</t>
        </is>
      </c>
      <c r="B268" s="1" t="n">
        <v>44369</v>
      </c>
      <c r="C268" s="1" t="n">
        <v>45475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33112-2021</t>
        </is>
      </c>
      <c r="B269" s="1" t="n">
        <v>44376</v>
      </c>
      <c r="C269" s="1" t="n">
        <v>45475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34429-2021</t>
        </is>
      </c>
      <c r="B270" s="1" t="n">
        <v>44380</v>
      </c>
      <c r="C270" s="1" t="n">
        <v>45475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34995-2021</t>
        </is>
      </c>
      <c r="B271" s="1" t="n">
        <v>44383</v>
      </c>
      <c r="C271" s="1" t="n">
        <v>45475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35290-2021</t>
        </is>
      </c>
      <c r="B272" s="1" t="n">
        <v>44384</v>
      </c>
      <c r="C272" s="1" t="n">
        <v>45475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36515-2021</t>
        </is>
      </c>
      <c r="B273" s="1" t="n">
        <v>44390</v>
      </c>
      <c r="C273" s="1" t="n">
        <v>45475</v>
      </c>
      <c r="D273" t="inlineStr">
        <is>
          <t>SKÅNE LÄN</t>
        </is>
      </c>
      <c r="E273" t="inlineStr">
        <is>
          <t>OSBY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40694-2021</t>
        </is>
      </c>
      <c r="B274" s="1" t="n">
        <v>44420</v>
      </c>
      <c r="C274" s="1" t="n">
        <v>45475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40862-2021</t>
        </is>
      </c>
      <c r="B275" s="1" t="n">
        <v>44421</v>
      </c>
      <c r="C275" s="1" t="n">
        <v>45475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41322-2021</t>
        </is>
      </c>
      <c r="B276" s="1" t="n">
        <v>44424</v>
      </c>
      <c r="C276" s="1" t="n">
        <v>45475</v>
      </c>
      <c r="D276" t="inlineStr">
        <is>
          <t>SKÅNE LÄN</t>
        </is>
      </c>
      <c r="E276" t="inlineStr">
        <is>
          <t>OSBY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41816-2021</t>
        </is>
      </c>
      <c r="B277" s="1" t="n">
        <v>44425</v>
      </c>
      <c r="C277" s="1" t="n">
        <v>45475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43026-2021</t>
        </is>
      </c>
      <c r="B278" s="1" t="n">
        <v>44431</v>
      </c>
      <c r="C278" s="1" t="n">
        <v>45475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43516-2021</t>
        </is>
      </c>
      <c r="B279" s="1" t="n">
        <v>44433</v>
      </c>
      <c r="C279" s="1" t="n">
        <v>45475</v>
      </c>
      <c r="D279" t="inlineStr">
        <is>
          <t>SKÅNE LÄN</t>
        </is>
      </c>
      <c r="E279" t="inlineStr">
        <is>
          <t>OSBY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43856-2021</t>
        </is>
      </c>
      <c r="B280" s="1" t="n">
        <v>44434</v>
      </c>
      <c r="C280" s="1" t="n">
        <v>45475</v>
      </c>
      <c r="D280" t="inlineStr">
        <is>
          <t>SKÅNE LÄN</t>
        </is>
      </c>
      <c r="E280" t="inlineStr">
        <is>
          <t>OSBY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43855-2021</t>
        </is>
      </c>
      <c r="B281" s="1" t="n">
        <v>44434</v>
      </c>
      <c r="C281" s="1" t="n">
        <v>45475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44628-2021</t>
        </is>
      </c>
      <c r="B282" s="1" t="n">
        <v>44437</v>
      </c>
      <c r="C282" s="1" t="n">
        <v>45475</v>
      </c>
      <c r="D282" t="inlineStr">
        <is>
          <t>SKÅNE LÄN</t>
        </is>
      </c>
      <c r="E282" t="inlineStr">
        <is>
          <t>OSBY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44629-2021</t>
        </is>
      </c>
      <c r="B283" s="1" t="n">
        <v>44437</v>
      </c>
      <c r="C283" s="1" t="n">
        <v>45475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44731-2021</t>
        </is>
      </c>
      <c r="B284" s="1" t="n">
        <v>44438</v>
      </c>
      <c r="C284" s="1" t="n">
        <v>45475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47211-2021</t>
        </is>
      </c>
      <c r="B285" s="1" t="n">
        <v>44447</v>
      </c>
      <c r="C285" s="1" t="n">
        <v>45475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47803-2021</t>
        </is>
      </c>
      <c r="B286" s="1" t="n">
        <v>44448</v>
      </c>
      <c r="C286" s="1" t="n">
        <v>45475</v>
      </c>
      <c r="D286" t="inlineStr">
        <is>
          <t>SKÅNE LÄN</t>
        </is>
      </c>
      <c r="E286" t="inlineStr">
        <is>
          <t>OSBY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50366-2021</t>
        </is>
      </c>
      <c r="B287" s="1" t="n">
        <v>44455</v>
      </c>
      <c r="C287" s="1" t="n">
        <v>45475</v>
      </c>
      <c r="D287" t="inlineStr">
        <is>
          <t>SKÅNE LÄN</t>
        </is>
      </c>
      <c r="E287" t="inlineStr">
        <is>
          <t>OSBY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49911-2021</t>
        </is>
      </c>
      <c r="B288" s="1" t="n">
        <v>44455</v>
      </c>
      <c r="C288" s="1" t="n">
        <v>45475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50474-2021</t>
        </is>
      </c>
      <c r="B289" s="1" t="n">
        <v>44459</v>
      </c>
      <c r="C289" s="1" t="n">
        <v>45475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50396-2021</t>
        </is>
      </c>
      <c r="B290" s="1" t="n">
        <v>44459</v>
      </c>
      <c r="C290" s="1" t="n">
        <v>45475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50491-2021</t>
        </is>
      </c>
      <c r="B291" s="1" t="n">
        <v>44459</v>
      </c>
      <c r="C291" s="1" t="n">
        <v>45475</v>
      </c>
      <c r="D291" t="inlineStr">
        <is>
          <t>SKÅNE LÄN</t>
        </is>
      </c>
      <c r="E291" t="inlineStr">
        <is>
          <t>OSBY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51345-2021</t>
        </is>
      </c>
      <c r="B292" s="1" t="n">
        <v>44461</v>
      </c>
      <c r="C292" s="1" t="n">
        <v>45475</v>
      </c>
      <c r="D292" t="inlineStr">
        <is>
          <t>SKÅNE LÄN</t>
        </is>
      </c>
      <c r="E292" t="inlineStr">
        <is>
          <t>OSBY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51353-2021</t>
        </is>
      </c>
      <c r="B293" s="1" t="n">
        <v>44461</v>
      </c>
      <c r="C293" s="1" t="n">
        <v>45475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51356-2021</t>
        </is>
      </c>
      <c r="B294" s="1" t="n">
        <v>44461</v>
      </c>
      <c r="C294" s="1" t="n">
        <v>45475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51859-2021</t>
        </is>
      </c>
      <c r="B295" s="1" t="n">
        <v>44462</v>
      </c>
      <c r="C295" s="1" t="n">
        <v>45475</v>
      </c>
      <c r="D295" t="inlineStr">
        <is>
          <t>SKÅNE LÄN</t>
        </is>
      </c>
      <c r="E295" t="inlineStr">
        <is>
          <t>OSBY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52196-2021</t>
        </is>
      </c>
      <c r="B296" s="1" t="n">
        <v>44463</v>
      </c>
      <c r="C296" s="1" t="n">
        <v>45475</v>
      </c>
      <c r="D296" t="inlineStr">
        <is>
          <t>SKÅNE LÄN</t>
        </is>
      </c>
      <c r="E296" t="inlineStr">
        <is>
          <t>OSBY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53339-2021</t>
        </is>
      </c>
      <c r="B297" s="1" t="n">
        <v>44468</v>
      </c>
      <c r="C297" s="1" t="n">
        <v>45475</v>
      </c>
      <c r="D297" t="inlineStr">
        <is>
          <t>SKÅNE LÄN</t>
        </is>
      </c>
      <c r="E297" t="inlineStr">
        <is>
          <t>OSBY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53935-2021</t>
        </is>
      </c>
      <c r="B298" s="1" t="n">
        <v>44469</v>
      </c>
      <c r="C298" s="1" t="n">
        <v>45475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53917-2021</t>
        </is>
      </c>
      <c r="B299" s="1" t="n">
        <v>44469</v>
      </c>
      <c r="C299" s="1" t="n">
        <v>45475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54307-2021</t>
        </is>
      </c>
      <c r="B300" s="1" t="n">
        <v>44472</v>
      </c>
      <c r="C300" s="1" t="n">
        <v>45475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55572-2021</t>
        </is>
      </c>
      <c r="B301" s="1" t="n">
        <v>44475</v>
      </c>
      <c r="C301" s="1" t="n">
        <v>45475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56177-2021</t>
        </is>
      </c>
      <c r="B302" s="1" t="n">
        <v>44477</v>
      </c>
      <c r="C302" s="1" t="n">
        <v>45475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56229-2021</t>
        </is>
      </c>
      <c r="B303" s="1" t="n">
        <v>44478</v>
      </c>
      <c r="C303" s="1" t="n">
        <v>45475</v>
      </c>
      <c r="D303" t="inlineStr">
        <is>
          <t>SKÅNE LÄN</t>
        </is>
      </c>
      <c r="E303" t="inlineStr">
        <is>
          <t>OSBY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56328-2021</t>
        </is>
      </c>
      <c r="B304" s="1" t="n">
        <v>44480</v>
      </c>
      <c r="C304" s="1" t="n">
        <v>45475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56877-2021</t>
        </is>
      </c>
      <c r="B305" s="1" t="n">
        <v>44481</v>
      </c>
      <c r="C305" s="1" t="n">
        <v>45475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56876-2021</t>
        </is>
      </c>
      <c r="B306" s="1" t="n">
        <v>44481</v>
      </c>
      <c r="C306" s="1" t="n">
        <v>45475</v>
      </c>
      <c r="D306" t="inlineStr">
        <is>
          <t>SKÅNE LÄN</t>
        </is>
      </c>
      <c r="E306" t="inlineStr">
        <is>
          <t>OSBY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57227-2021</t>
        </is>
      </c>
      <c r="B307" s="1" t="n">
        <v>44482</v>
      </c>
      <c r="C307" s="1" t="n">
        <v>45475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58346-2021</t>
        </is>
      </c>
      <c r="B308" s="1" t="n">
        <v>44487</v>
      </c>
      <c r="C308" s="1" t="n">
        <v>45475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58337-2021</t>
        </is>
      </c>
      <c r="B309" s="1" t="n">
        <v>44487</v>
      </c>
      <c r="C309" s="1" t="n">
        <v>45475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59754-2021</t>
        </is>
      </c>
      <c r="B310" s="1" t="n">
        <v>44494</v>
      </c>
      <c r="C310" s="1" t="n">
        <v>45475</v>
      </c>
      <c r="D310" t="inlineStr">
        <is>
          <t>SKÅNE LÄN</t>
        </is>
      </c>
      <c r="E310" t="inlineStr">
        <is>
          <t>OSBY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60995-2021</t>
        </is>
      </c>
      <c r="B311" s="1" t="n">
        <v>44497</v>
      </c>
      <c r="C311" s="1" t="n">
        <v>45475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62157-2021</t>
        </is>
      </c>
      <c r="B312" s="1" t="n">
        <v>44502</v>
      </c>
      <c r="C312" s="1" t="n">
        <v>45475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63135-2021</t>
        </is>
      </c>
      <c r="B313" s="1" t="n">
        <v>44505</v>
      </c>
      <c r="C313" s="1" t="n">
        <v>45475</v>
      </c>
      <c r="D313" t="inlineStr">
        <is>
          <t>SKÅNE LÄN</t>
        </is>
      </c>
      <c r="E313" t="inlineStr">
        <is>
          <t>OSBY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63077-2021</t>
        </is>
      </c>
      <c r="B314" s="1" t="n">
        <v>44505</v>
      </c>
      <c r="C314" s="1" t="n">
        <v>45475</v>
      </c>
      <c r="D314" t="inlineStr">
        <is>
          <t>SKÅNE LÄN</t>
        </is>
      </c>
      <c r="E314" t="inlineStr">
        <is>
          <t>OSBY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63558-2021</t>
        </is>
      </c>
      <c r="B315" s="1" t="n">
        <v>44508</v>
      </c>
      <c r="C315" s="1" t="n">
        <v>45475</v>
      </c>
      <c r="D315" t="inlineStr">
        <is>
          <t>SKÅNE LÄN</t>
        </is>
      </c>
      <c r="E315" t="inlineStr">
        <is>
          <t>OSBY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64141-2021</t>
        </is>
      </c>
      <c r="B316" s="1" t="n">
        <v>44510</v>
      </c>
      <c r="C316" s="1" t="n">
        <v>45475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64144-2021</t>
        </is>
      </c>
      <c r="B317" s="1" t="n">
        <v>44510</v>
      </c>
      <c r="C317" s="1" t="n">
        <v>45475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64469-2021</t>
        </is>
      </c>
      <c r="B318" s="1" t="n">
        <v>44511</v>
      </c>
      <c r="C318" s="1" t="n">
        <v>45475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65644-2021</t>
        </is>
      </c>
      <c r="B319" s="1" t="n">
        <v>44516</v>
      </c>
      <c r="C319" s="1" t="n">
        <v>45475</v>
      </c>
      <c r="D319" t="inlineStr">
        <is>
          <t>SKÅNE LÄN</t>
        </is>
      </c>
      <c r="E319" t="inlineStr">
        <is>
          <t>OSBY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66987-2021</t>
        </is>
      </c>
      <c r="B320" s="1" t="n">
        <v>44522</v>
      </c>
      <c r="C320" s="1" t="n">
        <v>45475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66984-2021</t>
        </is>
      </c>
      <c r="B321" s="1" t="n">
        <v>44522</v>
      </c>
      <c r="C321" s="1" t="n">
        <v>45475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67222-2021</t>
        </is>
      </c>
      <c r="B322" s="1" t="n">
        <v>44523</v>
      </c>
      <c r="C322" s="1" t="n">
        <v>45475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67332-2021</t>
        </is>
      </c>
      <c r="B323" s="1" t="n">
        <v>44523</v>
      </c>
      <c r="C323" s="1" t="n">
        <v>45475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67347-2021</t>
        </is>
      </c>
      <c r="B324" s="1" t="n">
        <v>44523</v>
      </c>
      <c r="C324" s="1" t="n">
        <v>45475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67616-2021</t>
        </is>
      </c>
      <c r="B325" s="1" t="n">
        <v>44524</v>
      </c>
      <c r="C325" s="1" t="n">
        <v>45475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67613-2021</t>
        </is>
      </c>
      <c r="B326" s="1" t="n">
        <v>44524</v>
      </c>
      <c r="C326" s="1" t="n">
        <v>45475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68487-2021</t>
        </is>
      </c>
      <c r="B327" s="1" t="n">
        <v>44529</v>
      </c>
      <c r="C327" s="1" t="n">
        <v>45475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68592-2021</t>
        </is>
      </c>
      <c r="B328" s="1" t="n">
        <v>44529</v>
      </c>
      <c r="C328" s="1" t="n">
        <v>45475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69072-2021</t>
        </is>
      </c>
      <c r="B329" s="1" t="n">
        <v>44530</v>
      </c>
      <c r="C329" s="1" t="n">
        <v>45475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69088-2021</t>
        </is>
      </c>
      <c r="B330" s="1" t="n">
        <v>44530</v>
      </c>
      <c r="C330" s="1" t="n">
        <v>45475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69093-2021</t>
        </is>
      </c>
      <c r="B331" s="1" t="n">
        <v>44530</v>
      </c>
      <c r="C331" s="1" t="n">
        <v>45475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73920-2021</t>
        </is>
      </c>
      <c r="B332" s="1" t="n">
        <v>44553</v>
      </c>
      <c r="C332" s="1" t="n">
        <v>45475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73927-2021</t>
        </is>
      </c>
      <c r="B333" s="1" t="n">
        <v>44553</v>
      </c>
      <c r="C333" s="1" t="n">
        <v>45475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74036-2021</t>
        </is>
      </c>
      <c r="B334" s="1" t="n">
        <v>44557</v>
      </c>
      <c r="C334" s="1" t="n">
        <v>45475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74018-2021</t>
        </is>
      </c>
      <c r="B335" s="1" t="n">
        <v>44557</v>
      </c>
      <c r="C335" s="1" t="n">
        <v>45475</v>
      </c>
      <c r="D335" t="inlineStr">
        <is>
          <t>SKÅNE LÄN</t>
        </is>
      </c>
      <c r="E335" t="inlineStr">
        <is>
          <t>OSBY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74033-2021</t>
        </is>
      </c>
      <c r="B336" s="1" t="n">
        <v>44557</v>
      </c>
      <c r="C336" s="1" t="n">
        <v>45475</v>
      </c>
      <c r="D336" t="inlineStr">
        <is>
          <t>SKÅNE LÄN</t>
        </is>
      </c>
      <c r="E336" t="inlineStr">
        <is>
          <t>OSBY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74016-2021</t>
        </is>
      </c>
      <c r="B337" s="1" t="n">
        <v>44557</v>
      </c>
      <c r="C337" s="1" t="n">
        <v>45475</v>
      </c>
      <c r="D337" t="inlineStr">
        <is>
          <t>SKÅNE LÄN</t>
        </is>
      </c>
      <c r="E337" t="inlineStr">
        <is>
          <t>OSBY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74050-2021</t>
        </is>
      </c>
      <c r="B338" s="1" t="n">
        <v>44557</v>
      </c>
      <c r="C338" s="1" t="n">
        <v>45475</v>
      </c>
      <c r="D338" t="inlineStr">
        <is>
          <t>SKÅNE LÄN</t>
        </is>
      </c>
      <c r="E338" t="inlineStr">
        <is>
          <t>OSBY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74073-2021</t>
        </is>
      </c>
      <c r="B339" s="1" t="n">
        <v>44557</v>
      </c>
      <c r="C339" s="1" t="n">
        <v>45475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1310-2022</t>
        </is>
      </c>
      <c r="B340" s="1" t="n">
        <v>44572</v>
      </c>
      <c r="C340" s="1" t="n">
        <v>45475</v>
      </c>
      <c r="D340" t="inlineStr">
        <is>
          <t>SKÅNE LÄN</t>
        </is>
      </c>
      <c r="E340" t="inlineStr">
        <is>
          <t>OSBY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1466-2022</t>
        </is>
      </c>
      <c r="B341" s="1" t="n">
        <v>44573</v>
      </c>
      <c r="C341" s="1" t="n">
        <v>45475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1607-2022</t>
        </is>
      </c>
      <c r="B342" s="1" t="n">
        <v>44573</v>
      </c>
      <c r="C342" s="1" t="n">
        <v>45475</v>
      </c>
      <c r="D342" t="inlineStr">
        <is>
          <t>SKÅNE LÄN</t>
        </is>
      </c>
      <c r="E342" t="inlineStr">
        <is>
          <t>OSBY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1899-2022</t>
        </is>
      </c>
      <c r="B343" s="1" t="n">
        <v>44575</v>
      </c>
      <c r="C343" s="1" t="n">
        <v>45475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2222-2022</t>
        </is>
      </c>
      <c r="B344" s="1" t="n">
        <v>44578</v>
      </c>
      <c r="C344" s="1" t="n">
        <v>45475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2442-2022</t>
        </is>
      </c>
      <c r="B345" s="1" t="n">
        <v>44579</v>
      </c>
      <c r="C345" s="1" t="n">
        <v>45475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2621-2022</t>
        </is>
      </c>
      <c r="B346" s="1" t="n">
        <v>44580</v>
      </c>
      <c r="C346" s="1" t="n">
        <v>45475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3361-2022</t>
        </is>
      </c>
      <c r="B347" s="1" t="n">
        <v>44585</v>
      </c>
      <c r="C347" s="1" t="n">
        <v>45475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3454-2022</t>
        </is>
      </c>
      <c r="B348" s="1" t="n">
        <v>44585</v>
      </c>
      <c r="C348" s="1" t="n">
        <v>45475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3452-2022</t>
        </is>
      </c>
      <c r="B349" s="1" t="n">
        <v>44585</v>
      </c>
      <c r="C349" s="1" t="n">
        <v>45475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3646-2022</t>
        </is>
      </c>
      <c r="B350" s="1" t="n">
        <v>44586</v>
      </c>
      <c r="C350" s="1" t="n">
        <v>45475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3973-2022</t>
        </is>
      </c>
      <c r="B351" s="1" t="n">
        <v>44587</v>
      </c>
      <c r="C351" s="1" t="n">
        <v>45475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4345-2022</t>
        </is>
      </c>
      <c r="B352" s="1" t="n">
        <v>44589</v>
      </c>
      <c r="C352" s="1" t="n">
        <v>45475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5262-2022</t>
        </is>
      </c>
      <c r="B353" s="1" t="n">
        <v>44594</v>
      </c>
      <c r="C353" s="1" t="n">
        <v>45475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5484-2022</t>
        </is>
      </c>
      <c r="B354" s="1" t="n">
        <v>44595</v>
      </c>
      <c r="C354" s="1" t="n">
        <v>45475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5569-2022</t>
        </is>
      </c>
      <c r="B355" s="1" t="n">
        <v>44595</v>
      </c>
      <c r="C355" s="1" t="n">
        <v>45475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6755-2022</t>
        </is>
      </c>
      <c r="B356" s="1" t="n">
        <v>44602</v>
      </c>
      <c r="C356" s="1" t="n">
        <v>45475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6964-2022</t>
        </is>
      </c>
      <c r="B357" s="1" t="n">
        <v>44603</v>
      </c>
      <c r="C357" s="1" t="n">
        <v>45475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6968-2022</t>
        </is>
      </c>
      <c r="B358" s="1" t="n">
        <v>44603</v>
      </c>
      <c r="C358" s="1" t="n">
        <v>45475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8250-2022</t>
        </is>
      </c>
      <c r="B359" s="1" t="n">
        <v>44609</v>
      </c>
      <c r="C359" s="1" t="n">
        <v>45475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8248-2022</t>
        </is>
      </c>
      <c r="B360" s="1" t="n">
        <v>44609</v>
      </c>
      <c r="C360" s="1" t="n">
        <v>45475</v>
      </c>
      <c r="D360" t="inlineStr">
        <is>
          <t>SKÅNE LÄN</t>
        </is>
      </c>
      <c r="E360" t="inlineStr">
        <is>
          <t>OSBY</t>
        </is>
      </c>
      <c r="F360" t="inlineStr">
        <is>
          <t>Kyrkan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8370-2022</t>
        </is>
      </c>
      <c r="B361" s="1" t="n">
        <v>44610</v>
      </c>
      <c r="C361" s="1" t="n">
        <v>45475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8371-2022</t>
        </is>
      </c>
      <c r="B362" s="1" t="n">
        <v>44610</v>
      </c>
      <c r="C362" s="1" t="n">
        <v>45475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8367-2022</t>
        </is>
      </c>
      <c r="B363" s="1" t="n">
        <v>44610</v>
      </c>
      <c r="C363" s="1" t="n">
        <v>45475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8382-2022</t>
        </is>
      </c>
      <c r="B364" s="1" t="n">
        <v>44610</v>
      </c>
      <c r="C364" s="1" t="n">
        <v>45475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8794-2022</t>
        </is>
      </c>
      <c r="B365" s="1" t="n">
        <v>44614</v>
      </c>
      <c r="C365" s="1" t="n">
        <v>45475</v>
      </c>
      <c r="D365" t="inlineStr">
        <is>
          <t>SKÅNE LÄN</t>
        </is>
      </c>
      <c r="E365" t="inlineStr">
        <is>
          <t>OSBY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45475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10372-2022</t>
        </is>
      </c>
      <c r="B367" s="1" t="n">
        <v>44623</v>
      </c>
      <c r="C367" s="1" t="n">
        <v>45475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11555-2022</t>
        </is>
      </c>
      <c r="B368" s="1" t="n">
        <v>44631</v>
      </c>
      <c r="C368" s="1" t="n">
        <v>45475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12526-2022</t>
        </is>
      </c>
      <c r="B369" s="1" t="n">
        <v>44638</v>
      </c>
      <c r="C369" s="1" t="n">
        <v>45475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13109-2022</t>
        </is>
      </c>
      <c r="B370" s="1" t="n">
        <v>44644</v>
      </c>
      <c r="C370" s="1" t="n">
        <v>45475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13903-2022</t>
        </is>
      </c>
      <c r="B371" s="1" t="n">
        <v>44650</v>
      </c>
      <c r="C371" s="1" t="n">
        <v>45475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15181-2022</t>
        </is>
      </c>
      <c r="B372" s="1" t="n">
        <v>44658</v>
      </c>
      <c r="C372" s="1" t="n">
        <v>45475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15570-2022</t>
        </is>
      </c>
      <c r="B373" s="1" t="n">
        <v>44662</v>
      </c>
      <c r="C373" s="1" t="n">
        <v>45475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15568-2022</t>
        </is>
      </c>
      <c r="B374" s="1" t="n">
        <v>44662</v>
      </c>
      <c r="C374" s="1" t="n">
        <v>45475</v>
      </c>
      <c r="D374" t="inlineStr">
        <is>
          <t>SKÅNE LÄN</t>
        </is>
      </c>
      <c r="E374" t="inlineStr">
        <is>
          <t>OSBY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15797-2022</t>
        </is>
      </c>
      <c r="B375" s="1" t="n">
        <v>44663</v>
      </c>
      <c r="C375" s="1" t="n">
        <v>45475</v>
      </c>
      <c r="D375" t="inlineStr">
        <is>
          <t>SKÅNE LÄN</t>
        </is>
      </c>
      <c r="E375" t="inlineStr">
        <is>
          <t>OSBY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16056-2022</t>
        </is>
      </c>
      <c r="B376" s="1" t="n">
        <v>44665</v>
      </c>
      <c r="C376" s="1" t="n">
        <v>45475</v>
      </c>
      <c r="D376" t="inlineStr">
        <is>
          <t>SKÅNE LÄN</t>
        </is>
      </c>
      <c r="E376" t="inlineStr">
        <is>
          <t>OSBY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17373-2022</t>
        </is>
      </c>
      <c r="B377" s="1" t="n">
        <v>44678</v>
      </c>
      <c r="C377" s="1" t="n">
        <v>45475</v>
      </c>
      <c r="D377" t="inlineStr">
        <is>
          <t>SKÅNE LÄN</t>
        </is>
      </c>
      <c r="E377" t="inlineStr">
        <is>
          <t>OSBY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17537-2022</t>
        </is>
      </c>
      <c r="B378" s="1" t="n">
        <v>44679</v>
      </c>
      <c r="C378" s="1" t="n">
        <v>45475</v>
      </c>
      <c r="D378" t="inlineStr">
        <is>
          <t>SKÅNE LÄN</t>
        </is>
      </c>
      <c r="E378" t="inlineStr">
        <is>
          <t>OSBY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18590-2022</t>
        </is>
      </c>
      <c r="B379" s="1" t="n">
        <v>44687</v>
      </c>
      <c r="C379" s="1" t="n">
        <v>45475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19437-2022</t>
        </is>
      </c>
      <c r="B380" s="1" t="n">
        <v>44693</v>
      </c>
      <c r="C380" s="1" t="n">
        <v>45475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19750-2022</t>
        </is>
      </c>
      <c r="B381" s="1" t="n">
        <v>44694</v>
      </c>
      <c r="C381" s="1" t="n">
        <v>45475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20227-2022</t>
        </is>
      </c>
      <c r="B382" s="1" t="n">
        <v>44698</v>
      </c>
      <c r="C382" s="1" t="n">
        <v>45475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20634-2022</t>
        </is>
      </c>
      <c r="B383" s="1" t="n">
        <v>44700</v>
      </c>
      <c r="C383" s="1" t="n">
        <v>45475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22029-2022</t>
        </is>
      </c>
      <c r="B384" s="1" t="n">
        <v>44711</v>
      </c>
      <c r="C384" s="1" t="n">
        <v>45475</v>
      </c>
      <c r="D384" t="inlineStr">
        <is>
          <t>SKÅNE LÄN</t>
        </is>
      </c>
      <c r="E384" t="inlineStr">
        <is>
          <t>OSBY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23601-2022</t>
        </is>
      </c>
      <c r="B385" s="1" t="n">
        <v>44721</v>
      </c>
      <c r="C385" s="1" t="n">
        <v>45475</v>
      </c>
      <c r="D385" t="inlineStr">
        <is>
          <t>SKÅNE LÄN</t>
        </is>
      </c>
      <c r="E385" t="inlineStr">
        <is>
          <t>OSBY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23963-2022</t>
        </is>
      </c>
      <c r="B386" s="1" t="n">
        <v>44722</v>
      </c>
      <c r="C386" s="1" t="n">
        <v>45475</v>
      </c>
      <c r="D386" t="inlineStr">
        <is>
          <t>SKÅNE LÄN</t>
        </is>
      </c>
      <c r="E386" t="inlineStr">
        <is>
          <t>OSBY</t>
        </is>
      </c>
      <c r="F386" t="inlineStr">
        <is>
          <t>Kyrkan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25305-2022</t>
        </is>
      </c>
      <c r="B387" s="1" t="n">
        <v>44731</v>
      </c>
      <c r="C387" s="1" t="n">
        <v>45475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26845-2022</t>
        </is>
      </c>
      <c r="B388" s="1" t="n">
        <v>44740</v>
      </c>
      <c r="C388" s="1" t="n">
        <v>45475</v>
      </c>
      <c r="D388" t="inlineStr">
        <is>
          <t>SKÅNE LÄN</t>
        </is>
      </c>
      <c r="E388" t="inlineStr">
        <is>
          <t>OSBY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26946-2022</t>
        </is>
      </c>
      <c r="B389" s="1" t="n">
        <v>44740</v>
      </c>
      <c r="C389" s="1" t="n">
        <v>45475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27378-2022</t>
        </is>
      </c>
      <c r="B390" s="1" t="n">
        <v>44742</v>
      </c>
      <c r="C390" s="1" t="n">
        <v>45475</v>
      </c>
      <c r="D390" t="inlineStr">
        <is>
          <t>SKÅNE LÄN</t>
        </is>
      </c>
      <c r="E390" t="inlineStr">
        <is>
          <t>OSBY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27758-2022</t>
        </is>
      </c>
      <c r="B391" s="1" t="n">
        <v>44743</v>
      </c>
      <c r="C391" s="1" t="n">
        <v>45475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28240-2022</t>
        </is>
      </c>
      <c r="B392" s="1" t="n">
        <v>44746</v>
      </c>
      <c r="C392" s="1" t="n">
        <v>45475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28174-2022</t>
        </is>
      </c>
      <c r="B393" s="1" t="n">
        <v>44746</v>
      </c>
      <c r="C393" s="1" t="n">
        <v>45475</v>
      </c>
      <c r="D393" t="inlineStr">
        <is>
          <t>SKÅNE LÄN</t>
        </is>
      </c>
      <c r="E393" t="inlineStr">
        <is>
          <t>OSBY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29024-2022</t>
        </is>
      </c>
      <c r="B394" s="1" t="n">
        <v>44749</v>
      </c>
      <c r="C394" s="1" t="n">
        <v>45475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30213-2022</t>
        </is>
      </c>
      <c r="B395" s="1" t="n">
        <v>44757</v>
      </c>
      <c r="C395" s="1" t="n">
        <v>45475</v>
      </c>
      <c r="D395" t="inlineStr">
        <is>
          <t>SKÅNE LÄN</t>
        </is>
      </c>
      <c r="E395" t="inlineStr">
        <is>
          <t>OSBY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30564-2022</t>
        </is>
      </c>
      <c r="B396" s="1" t="n">
        <v>44762</v>
      </c>
      <c r="C396" s="1" t="n">
        <v>45475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30751-2022</t>
        </is>
      </c>
      <c r="B397" s="1" t="n">
        <v>44764</v>
      </c>
      <c r="C397" s="1" t="n">
        <v>45475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31758-2022</t>
        </is>
      </c>
      <c r="B398" s="1" t="n">
        <v>44776</v>
      </c>
      <c r="C398" s="1" t="n">
        <v>45475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32584-2022</t>
        </is>
      </c>
      <c r="B399" s="1" t="n">
        <v>44783</v>
      </c>
      <c r="C399" s="1" t="n">
        <v>45475</v>
      </c>
      <c r="D399" t="inlineStr">
        <is>
          <t>SKÅNE LÄN</t>
        </is>
      </c>
      <c r="E399" t="inlineStr">
        <is>
          <t>OSBY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33487-2022</t>
        </is>
      </c>
      <c r="B400" s="1" t="n">
        <v>44788</v>
      </c>
      <c r="C400" s="1" t="n">
        <v>45475</v>
      </c>
      <c r="D400" t="inlineStr">
        <is>
          <t>SKÅNE LÄN</t>
        </is>
      </c>
      <c r="E400" t="inlineStr">
        <is>
          <t>OSBY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33489-2022</t>
        </is>
      </c>
      <c r="B401" s="1" t="n">
        <v>44788</v>
      </c>
      <c r="C401" s="1" t="n">
        <v>45475</v>
      </c>
      <c r="D401" t="inlineStr">
        <is>
          <t>SKÅNE LÄN</t>
        </is>
      </c>
      <c r="E401" t="inlineStr">
        <is>
          <t>OSBY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33486-2022</t>
        </is>
      </c>
      <c r="B402" s="1" t="n">
        <v>44788</v>
      </c>
      <c r="C402" s="1" t="n">
        <v>45475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33816-2022</t>
        </is>
      </c>
      <c r="B403" s="1" t="n">
        <v>44790</v>
      </c>
      <c r="C403" s="1" t="n">
        <v>45475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33822-2022</t>
        </is>
      </c>
      <c r="B404" s="1" t="n">
        <v>44790</v>
      </c>
      <c r="C404" s="1" t="n">
        <v>45475</v>
      </c>
      <c r="D404" t="inlineStr">
        <is>
          <t>SKÅNE LÄN</t>
        </is>
      </c>
      <c r="E404" t="inlineStr">
        <is>
          <t>OSBY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35383-2022</t>
        </is>
      </c>
      <c r="B405" s="1" t="n">
        <v>44798</v>
      </c>
      <c r="C405" s="1" t="n">
        <v>45475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35777-2022</t>
        </is>
      </c>
      <c r="B406" s="1" t="n">
        <v>44801</v>
      </c>
      <c r="C406" s="1" t="n">
        <v>45475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35911-2022</t>
        </is>
      </c>
      <c r="B407" s="1" t="n">
        <v>44802</v>
      </c>
      <c r="C407" s="1" t="n">
        <v>45475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35901-2022</t>
        </is>
      </c>
      <c r="B408" s="1" t="n">
        <v>44802</v>
      </c>
      <c r="C408" s="1" t="n">
        <v>45475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35986-2022</t>
        </is>
      </c>
      <c r="B409" s="1" t="n">
        <v>44802</v>
      </c>
      <c r="C409" s="1" t="n">
        <v>45475</v>
      </c>
      <c r="D409" t="inlineStr">
        <is>
          <t>SKÅNE LÄN</t>
        </is>
      </c>
      <c r="E409" t="inlineStr">
        <is>
          <t>OSBY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36645-2022</t>
        </is>
      </c>
      <c r="B410" s="1" t="n">
        <v>44804</v>
      </c>
      <c r="C410" s="1" t="n">
        <v>45475</v>
      </c>
      <c r="D410" t="inlineStr">
        <is>
          <t>SKÅNE LÄN</t>
        </is>
      </c>
      <c r="E410" t="inlineStr">
        <is>
          <t>OSBY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36899-2022</t>
        </is>
      </c>
      <c r="B411" s="1" t="n">
        <v>44805</v>
      </c>
      <c r="C411" s="1" t="n">
        <v>45475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37073-2022</t>
        </is>
      </c>
      <c r="B412" s="1" t="n">
        <v>44806</v>
      </c>
      <c r="C412" s="1" t="n">
        <v>45475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38632-2022</t>
        </is>
      </c>
      <c r="B413" s="1" t="n">
        <v>44813</v>
      </c>
      <c r="C413" s="1" t="n">
        <v>45475</v>
      </c>
      <c r="D413" t="inlineStr">
        <is>
          <t>SKÅNE LÄN</t>
        </is>
      </c>
      <c r="E413" t="inlineStr">
        <is>
          <t>OSBY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38629-2022</t>
        </is>
      </c>
      <c r="B414" s="1" t="n">
        <v>44813</v>
      </c>
      <c r="C414" s="1" t="n">
        <v>45475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38647-2022</t>
        </is>
      </c>
      <c r="B415" s="1" t="n">
        <v>44813</v>
      </c>
      <c r="C415" s="1" t="n">
        <v>45475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38861-2022</t>
        </is>
      </c>
      <c r="B416" s="1" t="n">
        <v>44816</v>
      </c>
      <c r="C416" s="1" t="n">
        <v>45475</v>
      </c>
      <c r="D416" t="inlineStr">
        <is>
          <t>SKÅNE LÄN</t>
        </is>
      </c>
      <c r="E416" t="inlineStr">
        <is>
          <t>OSBY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40524-2022</t>
        </is>
      </c>
      <c r="B417" s="1" t="n">
        <v>44823</v>
      </c>
      <c r="C417" s="1" t="n">
        <v>45475</v>
      </c>
      <c r="D417" t="inlineStr">
        <is>
          <t>SKÅNE LÄN</t>
        </is>
      </c>
      <c r="E417" t="inlineStr">
        <is>
          <t>OSBY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40584-2022</t>
        </is>
      </c>
      <c r="B418" s="1" t="n">
        <v>44823</v>
      </c>
      <c r="C418" s="1" t="n">
        <v>45475</v>
      </c>
      <c r="D418" t="inlineStr">
        <is>
          <t>SKÅNE LÄN</t>
        </is>
      </c>
      <c r="E418" t="inlineStr">
        <is>
          <t>OSBY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41375-2022</t>
        </is>
      </c>
      <c r="B419" s="1" t="n">
        <v>44826</v>
      </c>
      <c r="C419" s="1" t="n">
        <v>45475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41537-2022</t>
        </is>
      </c>
      <c r="B420" s="1" t="n">
        <v>44826</v>
      </c>
      <c r="C420" s="1" t="n">
        <v>45475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41547-2022</t>
        </is>
      </c>
      <c r="B421" s="1" t="n">
        <v>44826</v>
      </c>
      <c r="C421" s="1" t="n">
        <v>45475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41557-2022</t>
        </is>
      </c>
      <c r="B422" s="1" t="n">
        <v>44827</v>
      </c>
      <c r="C422" s="1" t="n">
        <v>45475</v>
      </c>
      <c r="D422" t="inlineStr">
        <is>
          <t>SKÅNE LÄN</t>
        </is>
      </c>
      <c r="E422" t="inlineStr">
        <is>
          <t>OSBY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41560-2022</t>
        </is>
      </c>
      <c r="B423" s="1" t="n">
        <v>44827</v>
      </c>
      <c r="C423" s="1" t="n">
        <v>45475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42034-2022</t>
        </is>
      </c>
      <c r="B424" s="1" t="n">
        <v>44830</v>
      </c>
      <c r="C424" s="1" t="n">
        <v>45475</v>
      </c>
      <c r="D424" t="inlineStr">
        <is>
          <t>SKÅNE LÄN</t>
        </is>
      </c>
      <c r="E424" t="inlineStr">
        <is>
          <t>OSBY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42153-2022</t>
        </is>
      </c>
      <c r="B425" s="1" t="n">
        <v>44830</v>
      </c>
      <c r="C425" s="1" t="n">
        <v>45475</v>
      </c>
      <c r="D425" t="inlineStr">
        <is>
          <t>SKÅNE LÄN</t>
        </is>
      </c>
      <c r="E425" t="inlineStr">
        <is>
          <t>OSBY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42031-2022</t>
        </is>
      </c>
      <c r="B426" s="1" t="n">
        <v>44830</v>
      </c>
      <c r="C426" s="1" t="n">
        <v>45475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42497-2022</t>
        </is>
      </c>
      <c r="B427" s="1" t="n">
        <v>44831</v>
      </c>
      <c r="C427" s="1" t="n">
        <v>45475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42751-2022</t>
        </is>
      </c>
      <c r="B428" s="1" t="n">
        <v>44832</v>
      </c>
      <c r="C428" s="1" t="n">
        <v>45475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43175-2022</t>
        </is>
      </c>
      <c r="B429" s="1" t="n">
        <v>44834</v>
      </c>
      <c r="C429" s="1" t="n">
        <v>45475</v>
      </c>
      <c r="D429" t="inlineStr">
        <is>
          <t>SKÅNE LÄN</t>
        </is>
      </c>
      <c r="E429" t="inlineStr">
        <is>
          <t>OSBY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43931-2022</t>
        </is>
      </c>
      <c r="B430" s="1" t="n">
        <v>44838</v>
      </c>
      <c r="C430" s="1" t="n">
        <v>45475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45108-2022</t>
        </is>
      </c>
      <c r="B431" s="1" t="n">
        <v>44843</v>
      </c>
      <c r="C431" s="1" t="n">
        <v>45475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45447-2022</t>
        </is>
      </c>
      <c r="B432" s="1" t="n">
        <v>44845</v>
      </c>
      <c r="C432" s="1" t="n">
        <v>45475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45650-2022</t>
        </is>
      </c>
      <c r="B433" s="1" t="n">
        <v>44845</v>
      </c>
      <c r="C433" s="1" t="n">
        <v>45475</v>
      </c>
      <c r="D433" t="inlineStr">
        <is>
          <t>SKÅNE LÄN</t>
        </is>
      </c>
      <c r="E433" t="inlineStr">
        <is>
          <t>OSBY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45648-2022</t>
        </is>
      </c>
      <c r="B434" s="1" t="n">
        <v>44845</v>
      </c>
      <c r="C434" s="1" t="n">
        <v>45475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50880-2022</t>
        </is>
      </c>
      <c r="B435" s="1" t="n">
        <v>44867</v>
      </c>
      <c r="C435" s="1" t="n">
        <v>45475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51508-2022</t>
        </is>
      </c>
      <c r="B436" s="1" t="n">
        <v>44869</v>
      </c>
      <c r="C436" s="1" t="n">
        <v>45475</v>
      </c>
      <c r="D436" t="inlineStr">
        <is>
          <t>SKÅNE LÄN</t>
        </is>
      </c>
      <c r="E436" t="inlineStr">
        <is>
          <t>OSBY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52857-2022</t>
        </is>
      </c>
      <c r="B437" s="1" t="n">
        <v>44872</v>
      </c>
      <c r="C437" s="1" t="n">
        <v>45475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52089-2022</t>
        </is>
      </c>
      <c r="B438" s="1" t="n">
        <v>44873</v>
      </c>
      <c r="C438" s="1" t="n">
        <v>45475</v>
      </c>
      <c r="D438" t="inlineStr">
        <is>
          <t>SKÅNE LÄN</t>
        </is>
      </c>
      <c r="E438" t="inlineStr">
        <is>
          <t>OSBY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54187-2022</t>
        </is>
      </c>
      <c r="B439" s="1" t="n">
        <v>44881</v>
      </c>
      <c r="C439" s="1" t="n">
        <v>45475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55029-2022</t>
        </is>
      </c>
      <c r="B440" s="1" t="n">
        <v>44886</v>
      </c>
      <c r="C440" s="1" t="n">
        <v>45475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58230-2022</t>
        </is>
      </c>
      <c r="B441" s="1" t="n">
        <v>44893</v>
      </c>
      <c r="C441" s="1" t="n">
        <v>45475</v>
      </c>
      <c r="D441" t="inlineStr">
        <is>
          <t>SKÅNE LÄN</t>
        </is>
      </c>
      <c r="E441" t="inlineStr">
        <is>
          <t>OSBY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57222-2022</t>
        </is>
      </c>
      <c r="B442" s="1" t="n">
        <v>44895</v>
      </c>
      <c r="C442" s="1" t="n">
        <v>45475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57990-2022</t>
        </is>
      </c>
      <c r="B443" s="1" t="n">
        <v>44900</v>
      </c>
      <c r="C443" s="1" t="n">
        <v>45475</v>
      </c>
      <c r="D443" t="inlineStr">
        <is>
          <t>SKÅNE LÄN</t>
        </is>
      </c>
      <c r="E443" t="inlineStr">
        <is>
          <t>OSBY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58562-2022</t>
        </is>
      </c>
      <c r="B444" s="1" t="n">
        <v>44902</v>
      </c>
      <c r="C444" s="1" t="n">
        <v>45475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58638-2022</t>
        </is>
      </c>
      <c r="B445" s="1" t="n">
        <v>44902</v>
      </c>
      <c r="C445" s="1" t="n">
        <v>45475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58767-2022</t>
        </is>
      </c>
      <c r="B446" s="1" t="n">
        <v>44903</v>
      </c>
      <c r="C446" s="1" t="n">
        <v>45475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58761-2022</t>
        </is>
      </c>
      <c r="B447" s="1" t="n">
        <v>44903</v>
      </c>
      <c r="C447" s="1" t="n">
        <v>45475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58764-2022</t>
        </is>
      </c>
      <c r="B448" s="1" t="n">
        <v>44903</v>
      </c>
      <c r="C448" s="1" t="n">
        <v>45475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59257-2022</t>
        </is>
      </c>
      <c r="B449" s="1" t="n">
        <v>44904</v>
      </c>
      <c r="C449" s="1" t="n">
        <v>45475</v>
      </c>
      <c r="D449" t="inlineStr">
        <is>
          <t>SKÅNE LÄN</t>
        </is>
      </c>
      <c r="E449" t="inlineStr">
        <is>
          <t>OSBY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59253-2022</t>
        </is>
      </c>
      <c r="B450" s="1" t="n">
        <v>44904</v>
      </c>
      <c r="C450" s="1" t="n">
        <v>45475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59236-2022</t>
        </is>
      </c>
      <c r="B451" s="1" t="n">
        <v>44904</v>
      </c>
      <c r="C451" s="1" t="n">
        <v>45475</v>
      </c>
      <c r="D451" t="inlineStr">
        <is>
          <t>SKÅNE LÄN</t>
        </is>
      </c>
      <c r="E451" t="inlineStr">
        <is>
          <t>OSBY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59252-2022</t>
        </is>
      </c>
      <c r="B452" s="1" t="n">
        <v>44904</v>
      </c>
      <c r="C452" s="1" t="n">
        <v>45475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61520-2022</t>
        </is>
      </c>
      <c r="B453" s="1" t="n">
        <v>44910</v>
      </c>
      <c r="C453" s="1" t="n">
        <v>45475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60600-2022</t>
        </is>
      </c>
      <c r="B454" s="1" t="n">
        <v>44911</v>
      </c>
      <c r="C454" s="1" t="n">
        <v>45475</v>
      </c>
      <c r="D454" t="inlineStr">
        <is>
          <t>SKÅNE LÄN</t>
        </is>
      </c>
      <c r="E454" t="inlineStr">
        <is>
          <t>OSBY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61648-2022</t>
        </is>
      </c>
      <c r="B455" s="1" t="n">
        <v>44916</v>
      </c>
      <c r="C455" s="1" t="n">
        <v>45475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62116-2022</t>
        </is>
      </c>
      <c r="B456" s="1" t="n">
        <v>44921</v>
      </c>
      <c r="C456" s="1" t="n">
        <v>45475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62117-2022</t>
        </is>
      </c>
      <c r="B457" s="1" t="n">
        <v>44921</v>
      </c>
      <c r="C457" s="1" t="n">
        <v>45475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1222-2023</t>
        </is>
      </c>
      <c r="B458" s="1" t="n">
        <v>44935</v>
      </c>
      <c r="C458" s="1" t="n">
        <v>45475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2823-2023</t>
        </is>
      </c>
      <c r="B459" s="1" t="n">
        <v>44945</v>
      </c>
      <c r="C459" s="1" t="n">
        <v>45475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3451-2023</t>
        </is>
      </c>
      <c r="B460" s="1" t="n">
        <v>44949</v>
      </c>
      <c r="C460" s="1" t="n">
        <v>45475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3671-2023</t>
        </is>
      </c>
      <c r="B461" s="1" t="n">
        <v>44950</v>
      </c>
      <c r="C461" s="1" t="n">
        <v>45475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3668-2023</t>
        </is>
      </c>
      <c r="B462" s="1" t="n">
        <v>44950</v>
      </c>
      <c r="C462" s="1" t="n">
        <v>45475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3875-2023</t>
        </is>
      </c>
      <c r="B463" s="1" t="n">
        <v>44951</v>
      </c>
      <c r="C463" s="1" t="n">
        <v>45475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3874-2023</t>
        </is>
      </c>
      <c r="B464" s="1" t="n">
        <v>44951</v>
      </c>
      <c r="C464" s="1" t="n">
        <v>45475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4798-2023</t>
        </is>
      </c>
      <c r="B465" s="1" t="n">
        <v>44957</v>
      </c>
      <c r="C465" s="1" t="n">
        <v>45475</v>
      </c>
      <c r="D465" t="inlineStr">
        <is>
          <t>SKÅNE LÄN</t>
        </is>
      </c>
      <c r="E465" t="inlineStr">
        <is>
          <t>OSBY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4767-2023</t>
        </is>
      </c>
      <c r="B466" s="1" t="n">
        <v>44957</v>
      </c>
      <c r="C466" s="1" t="n">
        <v>45475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5034-2023</t>
        </is>
      </c>
      <c r="B467" s="1" t="n">
        <v>44958</v>
      </c>
      <c r="C467" s="1" t="n">
        <v>45475</v>
      </c>
      <c r="D467" t="inlineStr">
        <is>
          <t>SKÅNE LÄN</t>
        </is>
      </c>
      <c r="E467" t="inlineStr">
        <is>
          <t>OSBY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7079-2023</t>
        </is>
      </c>
      <c r="B468" s="1" t="n">
        <v>44965</v>
      </c>
      <c r="C468" s="1" t="n">
        <v>45475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7086-2023</t>
        </is>
      </c>
      <c r="B469" s="1" t="n">
        <v>44965</v>
      </c>
      <c r="C469" s="1" t="n">
        <v>45475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6698-2023</t>
        </is>
      </c>
      <c r="B470" s="1" t="n">
        <v>44966</v>
      </c>
      <c r="C470" s="1" t="n">
        <v>45475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6854-2023</t>
        </is>
      </c>
      <c r="B471" s="1" t="n">
        <v>44967</v>
      </c>
      <c r="C471" s="1" t="n">
        <v>45475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9670-2023</t>
        </is>
      </c>
      <c r="B472" s="1" t="n">
        <v>44978</v>
      </c>
      <c r="C472" s="1" t="n">
        <v>45475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11515-2023</t>
        </is>
      </c>
      <c r="B473" s="1" t="n">
        <v>44993</v>
      </c>
      <c r="C473" s="1" t="n">
        <v>45475</v>
      </c>
      <c r="D473" t="inlineStr">
        <is>
          <t>SKÅNE LÄN</t>
        </is>
      </c>
      <c r="E473" t="inlineStr">
        <is>
          <t>OSBY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11773-2023</t>
        </is>
      </c>
      <c r="B474" s="1" t="n">
        <v>44994</v>
      </c>
      <c r="C474" s="1" t="n">
        <v>45475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11780-2023</t>
        </is>
      </c>
      <c r="B475" s="1" t="n">
        <v>44994</v>
      </c>
      <c r="C475" s="1" t="n">
        <v>45475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11837-2023</t>
        </is>
      </c>
      <c r="B476" s="1" t="n">
        <v>44995</v>
      </c>
      <c r="C476" s="1" t="n">
        <v>45475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12070-2023</t>
        </is>
      </c>
      <c r="B477" s="1" t="n">
        <v>44997</v>
      </c>
      <c r="C477" s="1" t="n">
        <v>45475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12068-2023</t>
        </is>
      </c>
      <c r="B478" s="1" t="n">
        <v>44997</v>
      </c>
      <c r="C478" s="1" t="n">
        <v>45475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12903-2023</t>
        </is>
      </c>
      <c r="B479" s="1" t="n">
        <v>45001</v>
      </c>
      <c r="C479" s="1" t="n">
        <v>45475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13143-2023</t>
        </is>
      </c>
      <c r="B480" s="1" t="n">
        <v>45002</v>
      </c>
      <c r="C480" s="1" t="n">
        <v>45475</v>
      </c>
      <c r="D480" t="inlineStr">
        <is>
          <t>SKÅNE LÄN</t>
        </is>
      </c>
      <c r="E480" t="inlineStr">
        <is>
          <t>OSBY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13138-2023</t>
        </is>
      </c>
      <c r="B481" s="1" t="n">
        <v>45002</v>
      </c>
      <c r="C481" s="1" t="n">
        <v>45475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14143-2023</t>
        </is>
      </c>
      <c r="B482" s="1" t="n">
        <v>45009</v>
      </c>
      <c r="C482" s="1" t="n">
        <v>45475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14148-2023</t>
        </is>
      </c>
      <c r="B483" s="1" t="n">
        <v>45009</v>
      </c>
      <c r="C483" s="1" t="n">
        <v>45475</v>
      </c>
      <c r="D483" t="inlineStr">
        <is>
          <t>SKÅNE LÄN</t>
        </is>
      </c>
      <c r="E483" t="inlineStr">
        <is>
          <t>OSBY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14310-2023</t>
        </is>
      </c>
      <c r="B484" s="1" t="n">
        <v>45011</v>
      </c>
      <c r="C484" s="1" t="n">
        <v>45475</v>
      </c>
      <c r="D484" t="inlineStr">
        <is>
          <t>SKÅNE LÄN</t>
        </is>
      </c>
      <c r="E484" t="inlineStr">
        <is>
          <t>OSBY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14308-2023</t>
        </is>
      </c>
      <c r="B485" s="1" t="n">
        <v>45011</v>
      </c>
      <c r="C485" s="1" t="n">
        <v>45475</v>
      </c>
      <c r="D485" t="inlineStr">
        <is>
          <t>SKÅNE LÄN</t>
        </is>
      </c>
      <c r="E485" t="inlineStr">
        <is>
          <t>OSBY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14307-2023</t>
        </is>
      </c>
      <c r="B486" s="1" t="n">
        <v>45011</v>
      </c>
      <c r="C486" s="1" t="n">
        <v>45475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14495-2023</t>
        </is>
      </c>
      <c r="B487" s="1" t="n">
        <v>45012</v>
      </c>
      <c r="C487" s="1" t="n">
        <v>45475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14562-2023</t>
        </is>
      </c>
      <c r="B488" s="1" t="n">
        <v>45013</v>
      </c>
      <c r="C488" s="1" t="n">
        <v>45475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14634-2023</t>
        </is>
      </c>
      <c r="B489" s="1" t="n">
        <v>45013</v>
      </c>
      <c r="C489" s="1" t="n">
        <v>45475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15041-2023</t>
        </is>
      </c>
      <c r="B490" s="1" t="n">
        <v>45015</v>
      </c>
      <c r="C490" s="1" t="n">
        <v>45475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15059-2023</t>
        </is>
      </c>
      <c r="B491" s="1" t="n">
        <v>45015</v>
      </c>
      <c r="C491" s="1" t="n">
        <v>45475</v>
      </c>
      <c r="D491" t="inlineStr">
        <is>
          <t>SKÅNE LÄN</t>
        </is>
      </c>
      <c r="E491" t="inlineStr">
        <is>
          <t>OSBY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15152-2023</t>
        </is>
      </c>
      <c r="B492" s="1" t="n">
        <v>45015</v>
      </c>
      <c r="C492" s="1" t="n">
        <v>45475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15143-2023</t>
        </is>
      </c>
      <c r="B493" s="1" t="n">
        <v>45015</v>
      </c>
      <c r="C493" s="1" t="n">
        <v>45475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15149-2023</t>
        </is>
      </c>
      <c r="B494" s="1" t="n">
        <v>45015</v>
      </c>
      <c r="C494" s="1" t="n">
        <v>45475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15525-2023</t>
        </is>
      </c>
      <c r="B495" s="1" t="n">
        <v>45016</v>
      </c>
      <c r="C495" s="1" t="n">
        <v>45475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15359-2023</t>
        </is>
      </c>
      <c r="B496" s="1" t="n">
        <v>45019</v>
      </c>
      <c r="C496" s="1" t="n">
        <v>45475</v>
      </c>
      <c r="D496" t="inlineStr">
        <is>
          <t>SKÅNE LÄN</t>
        </is>
      </c>
      <c r="E496" t="inlineStr">
        <is>
          <t>OSBY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15444-2023</t>
        </is>
      </c>
      <c r="B497" s="1" t="n">
        <v>45020</v>
      </c>
      <c r="C497" s="1" t="n">
        <v>45475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16084-2023</t>
        </is>
      </c>
      <c r="B498" s="1" t="n">
        <v>45027</v>
      </c>
      <c r="C498" s="1" t="n">
        <v>45475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16837-2023</t>
        </is>
      </c>
      <c r="B499" s="1" t="n">
        <v>45033</v>
      </c>
      <c r="C499" s="1" t="n">
        <v>45475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45475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45475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45475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45475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45475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45475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45475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45475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45475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45475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45475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45475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45475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45475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45475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45475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45475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45475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45475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45475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45475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45475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45475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45475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45475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45475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45475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45475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45475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45475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45475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45475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45475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45475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45475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45475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45475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45475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45475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45475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45475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45475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45475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45475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45475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45475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45475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45475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45475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45475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45475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45475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45475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45475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45475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45475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45475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45475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45475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45475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45475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45475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45475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45475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45475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45475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45475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45475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45475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45475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45475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45475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45475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45475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45475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45475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45475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45475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45475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45475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45475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45475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45475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45475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45475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45475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45475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45475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45475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45475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45475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45475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45475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45475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45475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45475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45475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45475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45475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45475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45475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45475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45475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45475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45475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45475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45475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45475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45475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45475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45475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45475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45475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45475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45475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45475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45475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45475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45475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45475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45475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45475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45475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45475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45475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45475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45475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45475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45475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45475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45475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45475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45475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45475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45475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45475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45475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45475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45475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45475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45475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45475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45475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45475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45475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45475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45475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45475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45475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45475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45475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45475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45475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45475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45475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45475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45475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45475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45475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45475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45475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45475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45475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45475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45475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45475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45475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45475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45475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45475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45475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45475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45475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45475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45475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45475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45475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45475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45475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45475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45475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45475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45475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45475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45475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45475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45475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45475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45475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45475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45475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45475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45475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45475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45475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45475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45475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45475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45475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45475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45475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45475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45475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45475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45475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45475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45475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45475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45475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45475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45475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45475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45475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45475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45475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45475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45475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45475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45475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45475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45475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45475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45475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45475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45475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45475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45475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45475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45475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45475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45475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45475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45475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45475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45475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45475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45475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45475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45475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45475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45475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45475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45475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45475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45475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45475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45475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45475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45475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45475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45475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45475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45475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45475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45475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45475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45475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45475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45475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45475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45475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45475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45475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45475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45475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45475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45475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45475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45475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45475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45475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45475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45475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45475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45475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45475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45475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45475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45475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45475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45475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45475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45475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22170-2024</t>
        </is>
      </c>
      <c r="B783" s="1" t="n">
        <v>45446</v>
      </c>
      <c r="C783" s="1" t="n">
        <v>45475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22174-2024</t>
        </is>
      </c>
      <c r="B784" s="1" t="n">
        <v>45446</v>
      </c>
      <c r="C784" s="1" t="n">
        <v>45475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22177-2024</t>
        </is>
      </c>
      <c r="B785" s="1" t="n">
        <v>45446</v>
      </c>
      <c r="C785" s="1" t="n">
        <v>45475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22175-2024</t>
        </is>
      </c>
      <c r="B786" s="1" t="n">
        <v>45446</v>
      </c>
      <c r="C786" s="1" t="n">
        <v>45475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22172-2024</t>
        </is>
      </c>
      <c r="B787" s="1" t="n">
        <v>45446</v>
      </c>
      <c r="C787" s="1" t="n">
        <v>45475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22176-2024</t>
        </is>
      </c>
      <c r="B788" s="1" t="n">
        <v>45446</v>
      </c>
      <c r="C788" s="1" t="n">
        <v>45475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45475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45475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45475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23235-2024</t>
        </is>
      </c>
      <c r="B792" s="1" t="n">
        <v>45453</v>
      </c>
      <c r="C792" s="1" t="n">
        <v>45475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45475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45475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23485-2024</t>
        </is>
      </c>
      <c r="B795" s="1" t="n">
        <v>45453</v>
      </c>
      <c r="C795" s="1" t="n">
        <v>45475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23479-2024</t>
        </is>
      </c>
      <c r="B796" s="1" t="n">
        <v>45453</v>
      </c>
      <c r="C796" s="1" t="n">
        <v>45475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45475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23482-2024</t>
        </is>
      </c>
      <c r="B798" s="1" t="n">
        <v>45453</v>
      </c>
      <c r="C798" s="1" t="n">
        <v>45475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23486-2024</t>
        </is>
      </c>
      <c r="B799" s="1" t="n">
        <v>45453</v>
      </c>
      <c r="C799" s="1" t="n">
        <v>45475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23233-2024</t>
        </is>
      </c>
      <c r="B800" s="1" t="n">
        <v>45453</v>
      </c>
      <c r="C800" s="1" t="n">
        <v>45475</v>
      </c>
      <c r="D800" t="inlineStr">
        <is>
          <t>SKÅNE LÄN</t>
        </is>
      </c>
      <c r="E800" t="inlineStr">
        <is>
          <t>OSBY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23472-2024</t>
        </is>
      </c>
      <c r="B801" s="1" t="n">
        <v>45453</v>
      </c>
      <c r="C801" s="1" t="n">
        <v>45475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23476-2024</t>
        </is>
      </c>
      <c r="B802" s="1" t="n">
        <v>45453</v>
      </c>
      <c r="C802" s="1" t="n">
        <v>45475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23480-2024</t>
        </is>
      </c>
      <c r="B803" s="1" t="n">
        <v>45453</v>
      </c>
      <c r="C803" s="1" t="n">
        <v>45475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45475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45475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25579-2024</t>
        </is>
      </c>
      <c r="B806" s="1" t="n">
        <v>45463</v>
      </c>
      <c r="C806" s="1" t="n">
        <v>45475</v>
      </c>
      <c r="D806" t="inlineStr">
        <is>
          <t>SKÅNE LÄN</t>
        </is>
      </c>
      <c r="E806" t="inlineStr">
        <is>
          <t>OSBY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45475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45475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26990-2024</t>
        </is>
      </c>
      <c r="B809" s="1" t="n">
        <v>45471</v>
      </c>
      <c r="C809" s="1" t="n">
        <v>45475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27132-2024</t>
        </is>
      </c>
      <c r="B810" s="1" t="n">
        <v>45471</v>
      </c>
      <c r="C810" s="1" t="n">
        <v>45475</v>
      </c>
      <c r="D810" t="inlineStr">
        <is>
          <t>SKÅNE LÄN</t>
        </is>
      </c>
      <c r="E810" t="inlineStr">
        <is>
          <t>OSBY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45475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26988-2024</t>
        </is>
      </c>
      <c r="B812" s="1" t="n">
        <v>45471</v>
      </c>
      <c r="C812" s="1" t="n">
        <v>45475</v>
      </c>
      <c r="D812" t="inlineStr">
        <is>
          <t>SKÅNE LÄN</t>
        </is>
      </c>
      <c r="E812" t="inlineStr">
        <is>
          <t>OSBY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45475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27053-2024</t>
        </is>
      </c>
      <c r="B814" s="1" t="n">
        <v>45471</v>
      </c>
      <c r="C814" s="1" t="n">
        <v>45475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2024-07-02T10:38:31Z</dcterms:created>
  <dcterms:modified xmlns:dcterms="http://purl.org/dc/terms/" xmlns:xsi="http://www.w3.org/2001/XMLSchema-instance" xsi:type="dcterms:W3CDTF">2024-07-02T10:38:32Z</dcterms:modified>
</cp:coreProperties>
</file>