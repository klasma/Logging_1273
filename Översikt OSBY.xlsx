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45672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45672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45672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45672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45672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45672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45672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45672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45672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45672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45672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45672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45672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45672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45672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45672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45672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45672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45672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45672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45672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45672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45672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45672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45672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45672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45672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45672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45672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10056-2024</t>
        </is>
      </c>
      <c r="B31" s="1" t="n">
        <v>45364</v>
      </c>
      <c r="C31" s="1" t="n">
        <v>45672</v>
      </c>
      <c r="D31" t="inlineStr">
        <is>
          <t>SKÅNE LÄN</t>
        </is>
      </c>
      <c r="E31" t="inlineStr">
        <is>
          <t>OSBY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HYPERLINK("https://klasma.github.io/Logging_1273/artfynd/A 10056-2024 artfynd.xlsx", "A 10056-2024")</f>
        <v/>
      </c>
      <c r="T31">
        <f>HYPERLINK("https://klasma.github.io/Logging_1273/kartor/A 10056-2024 karta.png", "A 10056-2024")</f>
        <v/>
      </c>
      <c r="V31">
        <f>HYPERLINK("https://klasma.github.io/Logging_1273/klagomål/A 10056-2024 FSC-klagomål.docx", "A 10056-2024")</f>
        <v/>
      </c>
      <c r="W31">
        <f>HYPERLINK("https://klasma.github.io/Logging_1273/klagomålsmail/A 10056-2024 FSC-klagomål mail.docx", "A 10056-2024")</f>
        <v/>
      </c>
      <c r="X31">
        <f>HYPERLINK("https://klasma.github.io/Logging_1273/tillsyn/A 10056-2024 tillsynsbegäran.docx", "A 10056-2024")</f>
        <v/>
      </c>
      <c r="Y31">
        <f>HYPERLINK("https://klasma.github.io/Logging_1273/tillsynsmail/A 10056-2024 tillsynsbegäran mail.docx", "A 10056-2024")</f>
        <v/>
      </c>
    </row>
    <row r="32" ht="15" customHeight="1">
      <c r="A32" t="inlineStr">
        <is>
          <t>A 21313-2024</t>
        </is>
      </c>
      <c r="B32" s="1" t="n">
        <v>45440</v>
      </c>
      <c r="C32" s="1" t="n">
        <v>45672</v>
      </c>
      <c r="D32" t="inlineStr">
        <is>
          <t>SKÅNE LÄN</t>
        </is>
      </c>
      <c r="E32" t="inlineStr">
        <is>
          <t>OSBY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HYPERLINK("https://klasma.github.io/Logging_1273/artfynd/A 21313-2024 artfynd.xlsx", "A 21313-2024")</f>
        <v/>
      </c>
      <c r="T32">
        <f>HYPERLINK("https://klasma.github.io/Logging_1273/kartor/A 21313-2024 karta.png", "A 21313-2024")</f>
        <v/>
      </c>
      <c r="V32">
        <f>HYPERLINK("https://klasma.github.io/Logging_1273/klagomål/A 21313-2024 FSC-klagomål.docx", "A 21313-2024")</f>
        <v/>
      </c>
      <c r="W32">
        <f>HYPERLINK("https://klasma.github.io/Logging_1273/klagomålsmail/A 21313-2024 FSC-klagomål mail.docx", "A 21313-2024")</f>
        <v/>
      </c>
      <c r="X32">
        <f>HYPERLINK("https://klasma.github.io/Logging_1273/tillsyn/A 21313-2024 tillsynsbegäran.docx", "A 21313-2024")</f>
        <v/>
      </c>
      <c r="Y32">
        <f>HYPERLINK("https://klasma.github.io/Logging_1273/tillsynsmail/A 21313-2024 tillsynsbegäran mail.docx", "A 21313-2024")</f>
        <v/>
      </c>
    </row>
    <row r="33" ht="15" customHeight="1">
      <c r="A33" t="inlineStr">
        <is>
          <t>A 23694-2024</t>
        </is>
      </c>
      <c r="B33" s="1" t="n">
        <v>45454</v>
      </c>
      <c r="C33" s="1" t="n">
        <v>45672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HYPERLINK("https://klasma.github.io/Logging_1273/artfynd/A 23694-2024 artfynd.xlsx", "A 23694-2024")</f>
        <v/>
      </c>
      <c r="T33">
        <f>HYPERLINK("https://klasma.github.io/Logging_1273/kartor/A 23694-2024 karta.png", "A 23694-2024")</f>
        <v/>
      </c>
      <c r="V33">
        <f>HYPERLINK("https://klasma.github.io/Logging_1273/klagomål/A 23694-2024 FSC-klagomål.docx", "A 23694-2024")</f>
        <v/>
      </c>
      <c r="W33">
        <f>HYPERLINK("https://klasma.github.io/Logging_1273/klagomålsmail/A 23694-2024 FSC-klagomål mail.docx", "A 23694-2024")</f>
        <v/>
      </c>
      <c r="X33">
        <f>HYPERLINK("https://klasma.github.io/Logging_1273/tillsyn/A 23694-2024 tillsynsbegäran.docx", "A 23694-2024")</f>
        <v/>
      </c>
      <c r="Y33">
        <f>HYPERLINK("https://klasma.github.io/Logging_1273/tillsynsmail/A 23694-2024 tillsynsbegäran mail.docx", "A 23694-2024")</f>
        <v/>
      </c>
    </row>
    <row r="34" ht="15" customHeight="1">
      <c r="A34" t="inlineStr">
        <is>
          <t>A 61738-2024</t>
        </is>
      </c>
      <c r="B34" s="1" t="n">
        <v>45649</v>
      </c>
      <c r="C34" s="1" t="n">
        <v>45672</v>
      </c>
      <c r="D34" t="inlineStr">
        <is>
          <t>SKÅNE LÄN</t>
        </is>
      </c>
      <c r="E34" t="inlineStr">
        <is>
          <t>OSBY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HYPERLINK("https://klasma.github.io/Logging_1273/artfynd/A 61738-2024 artfynd.xlsx", "A 61738-2024")</f>
        <v/>
      </c>
      <c r="T34">
        <f>HYPERLINK("https://klasma.github.io/Logging_1273/kartor/A 61738-2024 karta.png", "A 61738-2024")</f>
        <v/>
      </c>
      <c r="V34">
        <f>HYPERLINK("https://klasma.github.io/Logging_1273/klagomål/A 61738-2024 FSC-klagomål.docx", "A 61738-2024")</f>
        <v/>
      </c>
      <c r="W34">
        <f>HYPERLINK("https://klasma.github.io/Logging_1273/klagomålsmail/A 61738-2024 FSC-klagomål mail.docx", "A 61738-2024")</f>
        <v/>
      </c>
      <c r="X34">
        <f>HYPERLINK("https://klasma.github.io/Logging_1273/tillsyn/A 61738-2024 tillsynsbegäran.docx", "A 61738-2024")</f>
        <v/>
      </c>
      <c r="Y34">
        <f>HYPERLINK("https://klasma.github.io/Logging_1273/tillsynsmail/A 61738-2024 tillsynsbegäran mail.docx", "A 61738-2024")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45672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45672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45672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45672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45672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45672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45672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45672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45672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45672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45672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45672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45672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45672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45672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45672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45672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45672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45672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45672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45672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45672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45672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45672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45672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45672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45672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45672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45672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45672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45672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45672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45672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45672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45672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45672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45672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45672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45672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45672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45672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45672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45672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45672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45672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45672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45672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45672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45672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45672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45672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45672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45672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45672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45672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45672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45672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45672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45672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45672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45672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45672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45672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45672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45672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45672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45672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45672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45672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45672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45672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45672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45672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45672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45672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45672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45672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45672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45672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45672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45672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45672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45672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45672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45672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45672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45672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45672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45672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45672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45672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45672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45672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45672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45672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45672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45672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45672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45672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45672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45672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45672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45672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45672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45672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45672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45672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45672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45672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45672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45672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45672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45672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45672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45672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45672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45672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45672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45672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45672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45672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45672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24297-2020</t>
        </is>
      </c>
      <c r="B157" s="1" t="n">
        <v>43976</v>
      </c>
      <c r="C157" s="1" t="n">
        <v>45672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45672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45672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45672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45672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45672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45672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45672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45672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45672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45672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45672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45672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45672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45672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45672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45672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45672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45672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45672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45672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45672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45672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45672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45672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45672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45672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45672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45672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45672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45672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45672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45672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45672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45672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45672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45672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45672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45672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45672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45672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45672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45672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45672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45672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45672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45672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45672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45672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45672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45672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45672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45672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45672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45672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45672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45672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45672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45672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45672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45672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45672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45672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45672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45672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45672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45672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45672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45672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45672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45672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45672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45672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45672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45672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45672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45672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45672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45672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45672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45672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45672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45672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45672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45672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45672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45672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45672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45672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45672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45672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45672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45672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45672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45672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45672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45672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45672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45672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45672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45672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45672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45672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45672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45672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45672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45672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45672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45672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45672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45672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45672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45672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45672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45672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45672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45672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45672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45672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45672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45672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45672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45672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45672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45672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45672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45672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45672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45672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45672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45672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45672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45672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45672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45672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45672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45672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45672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45672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45672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45672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45672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45672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45672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45672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45672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45672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45672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45672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45672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45672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45672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45672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45672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45672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45672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45672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45672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45672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45672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45672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45672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45672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45672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45672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45672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45672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45672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45672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45672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45672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45672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45672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45672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45672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45672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45672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45672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45672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45672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45672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45672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45672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45672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45672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45672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45672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45672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45672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45672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45672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45672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45672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45672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45672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45672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45672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45672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45672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45672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45672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45672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45672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45672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45672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45672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45672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45672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45672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45672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45672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45672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45672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45672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45672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45672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45672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45672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45672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45672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45672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45672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45672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45672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45672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45672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45672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45672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45672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45672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45672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45672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45672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45672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45672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45672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45672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45672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45672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45672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45672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45672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45672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45672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45672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45672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45672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45672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45672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45672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45672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45672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45672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45672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45672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45672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45672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45672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45672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45672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45672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45672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45672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45672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45672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45672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45672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45672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45672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45672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45672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45672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45672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45672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45672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45672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45672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45672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45672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45672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45672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45672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45672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45672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45672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45672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45672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45672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45672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45672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45672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45672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45672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45672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45672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45672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45672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45672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45672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45672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45672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45672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45672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45672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45672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45672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45672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45672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45672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45672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45672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45672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45672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45672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45672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45672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45672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45672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45672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45672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45672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45672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45672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45672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45672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45672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45672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45672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45672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45672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45672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45672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45672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45672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45672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45672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45672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45672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45672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45672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45672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45672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45672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45672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45672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45672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45672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45672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45672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45672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45672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45672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45672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45672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45672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45672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45672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45672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45672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45672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45672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45672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45672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45672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45672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45672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45672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45672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45672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45672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45672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45672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45672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45672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45672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45672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45672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45672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45672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45672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45672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45672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45672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45672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45672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45672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45672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45672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45672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45672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45672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45672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45672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45672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45672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45672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45672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45672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45672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45672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45672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45672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45672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45672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45672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45672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45672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45672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45672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45672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45672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45672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45672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45672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45672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45672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45672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45672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45672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45672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45672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45672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45672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45672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45672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45672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45672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45672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45672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45672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45672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45672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45672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45672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45672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45672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45672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45672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45672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45672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45672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45672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45672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45672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45672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45672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45672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45672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45672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45672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45672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45672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45672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45672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45672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45672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45672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45672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45672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45672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45672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45672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45672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45672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45672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45672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45672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45672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45672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45672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45672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45672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45672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45672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45672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45672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45672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45672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45672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45672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45672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45672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45672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45672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45672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45672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45672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45672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45672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45672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45672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45672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45672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45672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45672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45672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45672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45672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45672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45672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45672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45672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45672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45672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45672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45672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45672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45672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45672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45672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45672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45672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45672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45672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45672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45672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45672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45672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45672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45672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45672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45672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45672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45672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45672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45672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45672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45672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45672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45672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45672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45672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45672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45672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45672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45672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45672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45672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45672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45672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45672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45672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45672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45672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45672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45672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45672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45672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45672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45672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45672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45672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45672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45672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45672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45672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45672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45672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45672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45672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45672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45672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45672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45672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45672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45672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45672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45672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45672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45672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45672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45672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45672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45672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45672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45672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45672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45672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45672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45672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45672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45672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45672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45672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45672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45672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45672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45672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45672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45672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45672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45672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45672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45672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45672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45672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45672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45672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45672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45672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45672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45672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45672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45672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45672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45672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45672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45672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45672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45672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45672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45672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45672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45672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45672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45672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45672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45672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45672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45672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45672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45672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45672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45672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45672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45672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45672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45672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45672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45672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45672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45672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45672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45672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45672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45672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45672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45672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45672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45672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45672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45672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45672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45672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45672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45672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45672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45672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45672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45672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45672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45672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45672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45672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45672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45672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45672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45672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45672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45672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45672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45672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45672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45672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45672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45672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45672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45672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45672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45672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45672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45672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45672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45672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45672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45672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45672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45672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45672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45672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45672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45672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45672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45672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45672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45672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45672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45672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45672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45672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45672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45672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45672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45672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45672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45672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45672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45672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45672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45672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45672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45672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45672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45672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45672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45672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45672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45672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45672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45672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45672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45672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45672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45672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45672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45672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45672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45672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45672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45672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45672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45672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45672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45672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45672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45672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45672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45672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45672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45672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45672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45672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45672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45672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45672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45672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45672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45672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45672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45672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45672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45672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45672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45672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45672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45672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45672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45672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45672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45672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45672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45672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45672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45672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45672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45672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45672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45672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45672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45672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45672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45672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45672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45672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1153-2025</t>
        </is>
      </c>
      <c r="B921" s="1" t="n">
        <v>45666</v>
      </c>
      <c r="C921" s="1" t="n">
        <v>45672</v>
      </c>
      <c r="D921" t="inlineStr">
        <is>
          <t>SKÅNE LÄN</t>
        </is>
      </c>
      <c r="E921" t="inlineStr">
        <is>
          <t>OSBY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45672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1077-2025</t>
        </is>
      </c>
      <c r="B923" s="1" t="n">
        <v>45666</v>
      </c>
      <c r="C923" s="1" t="n">
        <v>45672</v>
      </c>
      <c r="D923" t="inlineStr">
        <is>
          <t>SKÅNE LÄN</t>
        </is>
      </c>
      <c r="E923" t="inlineStr">
        <is>
          <t>OSBY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1621-2025</t>
        </is>
      </c>
      <c r="B924" s="1" t="n">
        <v>45670</v>
      </c>
      <c r="C924" s="1" t="n">
        <v>45672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2025-01-15T15:53:17Z</dcterms:created>
  <dcterms:modified xmlns:dcterms="http://purl.org/dc/terms/" xmlns:xsi="http://www.w3.org/2001/XMLSchema-instance" xsi:type="dcterms:W3CDTF">2025-01-15T15:53:17Z</dcterms:modified>
</cp:coreProperties>
</file>