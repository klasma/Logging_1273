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46319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46319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46319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46319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46319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46319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46319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46319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27495-2026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46319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Tofsmes</t>
        </is>
      </c>
      <c r="W16">
        <f>HYPERLINK("https://klasma.github.io/Logging_1273/artfynd/A 27495-2026 artfynd.xlsx", "A 27495-2026")</f>
        <v/>
      </c>
      <c r="X16">
        <f>HYPERLINK("https://klasma.github.io/Logging_1273/kartor/A 27495-2026 karta.png", "A 27495-2026")</f>
        <v/>
      </c>
      <c r="Y16">
        <f>HYPERLINK("https://klasma.github.io/Logging_1273/kartor_geotiff/A 27495-2026 georefererad karta.tif", "A 27495-2026")</f>
        <v/>
      </c>
      <c r="AA16">
        <f>HYPERLINK("https://klasma.github.io/Logging_1273/klagomål/A 27495-2026 FSC-klagomål.docx", "A 27495-2026")</f>
        <v/>
      </c>
      <c r="AB16">
        <f>HYPERLINK("https://klasma.github.io/Logging_1273/klagomålsmail/A 27495-2026 FSC-klagomål mail.docx", "A 27495-2026")</f>
        <v/>
      </c>
      <c r="AC16">
        <f>HYPERLINK("https://klasma.github.io/Logging_1273/tillsyn/A 27495-2026 tillsynsbegäran.docx", "A 27495-2026")</f>
        <v/>
      </c>
      <c r="AD16">
        <f>HYPERLINK("https://klasma.github.io/Logging_1273/tillsynsmail/A 27495-2026 tillsynsbegäran mail.docx", "A 27495-2026")</f>
        <v/>
      </c>
      <c r="AE16">
        <f>HYPERLINK("https://klasma.github.io/Logging_1273/fåglar/A 27495-2026 prioriterade fågelarter.docx", "A 27495-2026")</f>
        <v/>
      </c>
    </row>
    <row r="17" ht="15" customHeight="1">
      <c r="A17" t="inlineStr">
        <is>
          <t>A 8989-2024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46319</v>
      </c>
      <c r="F17" t="inlineStr">
        <is>
          <t>SKÅNE LÄN</t>
        </is>
      </c>
      <c r="G17" t="inlineStr">
        <is>
          <t>OSBY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Kortskaftad parasitspik
Rostfläck</t>
        </is>
      </c>
      <c r="W17">
        <f>HYPERLINK("https://klasma.github.io/Logging_1273/artfynd/A 8989-2024 artfynd.xlsx", "A 8989-2024")</f>
        <v/>
      </c>
      <c r="X17">
        <f>HYPERLINK("https://klasma.github.io/Logging_1273/kartor/A 8989-2024 karta.png", "A 8989-2024")</f>
        <v/>
      </c>
      <c r="Y17">
        <f>HYPERLINK("https://klasma.github.io/Logging_1273/kartor_geotiff/A 8989-2024 georefererad karta.tif", "A 8989-2024")</f>
        <v/>
      </c>
      <c r="AA17">
        <f>HYPERLINK("https://klasma.github.io/Logging_1273/klagomål/A 8989-2024 FSC-klagomål.docx", "A 8989-2024")</f>
        <v/>
      </c>
      <c r="AB17">
        <f>HYPERLINK("https://klasma.github.io/Logging_1273/klagomålsmail/A 8989-2024 FSC-klagomål mail.docx", "A 8989-2024")</f>
        <v/>
      </c>
      <c r="AC17">
        <f>HYPERLINK("https://klasma.github.io/Logging_1273/tillsyn/A 8989-2024 tillsynsbegäran.docx", "A 8989-2024")</f>
        <v/>
      </c>
      <c r="AD17">
        <f>HYPERLINK("https://klasma.github.io/Logging_1273/tillsynsmail/A 8989-2024 tillsynsbegäran mail.docx", "A 8989-2024")</f>
        <v/>
      </c>
    </row>
    <row r="18" ht="15" customHeight="1">
      <c r="A18" t="inlineStr">
        <is>
          <t>A 40546-2026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46295</v>
      </c>
      <c r="E18" s="1" t="n">
        <v>46319</v>
      </c>
      <c r="F18" t="inlineStr">
        <is>
          <t>SKÅNE LÄN</t>
        </is>
      </c>
      <c r="G18" t="inlineStr">
        <is>
          <t>OSBY</t>
        </is>
      </c>
      <c r="I18" t="n">
        <v>3.6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Spillkråka</t>
        </is>
      </c>
      <c r="W18">
        <f>HYPERLINK("https://klasma.github.io/Logging_1273/artfynd/A 40546-2026 artfynd.xlsx", "A 40546-2026")</f>
        <v/>
      </c>
      <c r="X18">
        <f>HYPERLINK("https://klasma.github.io/Logging_1273/kartor/A 40546-2026 karta.png", "A 40546-2026")</f>
        <v/>
      </c>
      <c r="Y18">
        <f>HYPERLINK("https://klasma.github.io/Logging_1273/kartor_geotiff/A 40546-2026 georefererad karta.tif", "A 40546-2026")</f>
        <v/>
      </c>
      <c r="Z18">
        <f>HYPERLINK("https://klasma.github.io/Logging_1273/knärot/A 40546-2026 karta knärot.png", "A 40546-2026")</f>
        <v/>
      </c>
      <c r="AA18">
        <f>HYPERLINK("https://klasma.github.io/Logging_1273/klagomål/A 40546-2026 FSC-klagomål.docx", "A 40546-2026")</f>
        <v/>
      </c>
      <c r="AB18">
        <f>HYPERLINK("https://klasma.github.io/Logging_1273/klagomålsmail/A 40546-2026 FSC-klagomål mail.docx", "A 40546-2026")</f>
        <v/>
      </c>
      <c r="AC18">
        <f>HYPERLINK("https://klasma.github.io/Logging_1273/tillsyn/A 40546-2026 tillsynsbegäran.docx", "A 40546-2026")</f>
        <v/>
      </c>
      <c r="AD18">
        <f>HYPERLINK("https://klasma.github.io/Logging_1273/tillsynsmail/A 40546-2026 tillsynsbegäran mail.docx", "A 40546-2026")</f>
        <v/>
      </c>
      <c r="AE18">
        <f>HYPERLINK("https://klasma.github.io/Logging_1273/fåglar/A 40546-2026 prioriterade fågelarter.docx", "A 40546-2026")</f>
        <v/>
      </c>
    </row>
    <row r="19" ht="15" customHeight="1">
      <c r="A19" t="inlineStr">
        <is>
          <t>A 32705-2025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46319</v>
      </c>
      <c r="F19" t="inlineStr">
        <is>
          <t>SKÅNE LÄN</t>
        </is>
      </c>
      <c r="G19" t="inlineStr">
        <is>
          <t>OSBY</t>
        </is>
      </c>
      <c r="I19" t="n">
        <v>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Sädesärla
Kungsfågel</t>
        </is>
      </c>
      <c r="W19">
        <f>HYPERLINK("https://klasma.github.io/Logging_1273/artfynd/A 32705-2025 artfynd.xlsx", "A 32705-2025")</f>
        <v/>
      </c>
      <c r="X19">
        <f>HYPERLINK("https://klasma.github.io/Logging_1273/kartor/A 32705-2025 karta.png", "A 32705-2025")</f>
        <v/>
      </c>
      <c r="Y19">
        <f>HYPERLINK("https://klasma.github.io/Logging_1273/kartor_geotiff/A 32705-2025 georefererad karta.tif", "A 32705-2025")</f>
        <v/>
      </c>
      <c r="AA19">
        <f>HYPERLINK("https://klasma.github.io/Logging_1273/klagomål/A 32705-2025 FSC-klagomål.docx", "A 32705-2025")</f>
        <v/>
      </c>
      <c r="AB19">
        <f>HYPERLINK("https://klasma.github.io/Logging_1273/klagomålsmail/A 32705-2025 FSC-klagomål mail.docx", "A 32705-2025")</f>
        <v/>
      </c>
      <c r="AC19">
        <f>HYPERLINK("https://klasma.github.io/Logging_1273/tillsyn/A 32705-2025 tillsynsbegäran.docx", "A 32705-2025")</f>
        <v/>
      </c>
      <c r="AD19">
        <f>HYPERLINK("https://klasma.github.io/Logging_1273/tillsynsmail/A 32705-2025 tillsynsbegäran mail.docx", "A 32705-2025")</f>
        <v/>
      </c>
      <c r="AE19">
        <f>HYPERLINK("https://klasma.github.io/Logging_1273/fåglar/A 32705-2025 prioriterade fågelarter.docx", "A 32705-2025")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46319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36266-2025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45867</v>
      </c>
      <c r="E21" s="1" t="n">
        <v>46319</v>
      </c>
      <c r="F21" t="inlineStr">
        <is>
          <t>SKÅNE LÄN</t>
        </is>
      </c>
      <c r="G21" t="inlineStr">
        <is>
          <t>OSBY</t>
        </is>
      </c>
      <c r="I21" t="n">
        <v>3.3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Talltita
Kungsfågel</t>
        </is>
      </c>
      <c r="W21">
        <f>HYPERLINK("https://klasma.github.io/Logging_1273/artfynd/A 36266-2025 artfynd.xlsx", "A 36266-2025")</f>
        <v/>
      </c>
      <c r="X21">
        <f>HYPERLINK("https://klasma.github.io/Logging_1273/kartor/A 36266-2025 karta.png", "A 36266-2025")</f>
        <v/>
      </c>
      <c r="Y21">
        <f>HYPERLINK("https://klasma.github.io/Logging_1273/kartor_geotiff/A 36266-2025 georefererad karta.tif", "A 36266-2025")</f>
        <v/>
      </c>
      <c r="AA21">
        <f>HYPERLINK("https://klasma.github.io/Logging_1273/klagomål/A 36266-2025 FSC-klagomål.docx", "A 36266-2025")</f>
        <v/>
      </c>
      <c r="AB21">
        <f>HYPERLINK("https://klasma.github.io/Logging_1273/klagomålsmail/A 36266-2025 FSC-klagomål mail.docx", "A 36266-2025")</f>
        <v/>
      </c>
      <c r="AC21">
        <f>HYPERLINK("https://klasma.github.io/Logging_1273/tillsyn/A 36266-2025 tillsynsbegäran.docx", "A 36266-2025")</f>
        <v/>
      </c>
      <c r="AD21">
        <f>HYPERLINK("https://klasma.github.io/Logging_1273/tillsynsmail/A 36266-2025 tillsynsbegäran mail.docx", "A 36266-2025")</f>
        <v/>
      </c>
      <c r="AE21">
        <f>HYPERLINK("https://klasma.github.io/Logging_1273/fåglar/A 36266-2025 prioriterade fågelarter.docx", "A 36266-2025")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46319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23811-2023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46319</v>
      </c>
      <c r="F23" t="inlineStr">
        <is>
          <t>SKÅNE LÄN</t>
        </is>
      </c>
      <c r="G23" t="inlineStr">
        <is>
          <t>OSBY</t>
        </is>
      </c>
      <c r="I23" t="n">
        <v>1.7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Sjötåtel
Borsttåg</t>
        </is>
      </c>
      <c r="W23">
        <f>HYPERLINK("https://klasma.github.io/Logging_1273/artfynd/A 23811-2023 artfynd.xlsx", "A 23811-2023")</f>
        <v/>
      </c>
      <c r="X23">
        <f>HYPERLINK("https://klasma.github.io/Logging_1273/kartor/A 23811-2023 karta.png", "A 23811-2023")</f>
        <v/>
      </c>
      <c r="Y23">
        <f>HYPERLINK("https://klasma.github.io/Logging_1273/kartor_geotiff/A 23811-2023 georefererad karta.tif", "A 23811-2023")</f>
        <v/>
      </c>
      <c r="AA23">
        <f>HYPERLINK("https://klasma.github.io/Logging_1273/klagomål/A 23811-2023 FSC-klagomål.docx", "A 23811-2023")</f>
        <v/>
      </c>
      <c r="AB23">
        <f>HYPERLINK("https://klasma.github.io/Logging_1273/klagomålsmail/A 23811-2023 FSC-klagomål mail.docx", "A 23811-2023")</f>
        <v/>
      </c>
      <c r="AC23">
        <f>HYPERLINK("https://klasma.github.io/Logging_1273/tillsyn/A 23811-2023 tillsynsbegäran.docx", "A 23811-2023")</f>
        <v/>
      </c>
      <c r="AD23">
        <f>HYPERLINK("https://klasma.github.io/Logging_1273/tillsynsmail/A 23811-2023 tillsynsbegäran mail.docx", "A 23811-2023")</f>
        <v/>
      </c>
    </row>
    <row r="24" ht="15" customHeight="1">
      <c r="A24" t="inlineStr">
        <is>
          <t>A 51859-2024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45607</v>
      </c>
      <c r="E24" s="1" t="n">
        <v>46319</v>
      </c>
      <c r="F24" t="inlineStr">
        <is>
          <t>SKÅNE LÄN</t>
        </is>
      </c>
      <c r="G24" t="inlineStr">
        <is>
          <t>OSBY</t>
        </is>
      </c>
      <c r="H24" t="inlineStr">
        <is>
          <t>Sveaskog</t>
        </is>
      </c>
      <c r="I24" t="n">
        <v>2.8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Gröngöling</t>
        </is>
      </c>
      <c r="W24">
        <f>HYPERLINK("https://klasma.github.io/Logging_1273/artfynd/A 51859-2024 artfynd.xlsx", "A 51859-2024")</f>
        <v/>
      </c>
      <c r="X24">
        <f>HYPERLINK("https://klasma.github.io/Logging_1273/kartor/A 51859-2024 karta.png", "A 51859-2024")</f>
        <v/>
      </c>
      <c r="Y24">
        <f>HYPERLINK("https://klasma.github.io/Logging_1273/kartor_geotiff/A 51859-2024 georefererad karta.tif", "A 51859-2024")</f>
        <v/>
      </c>
      <c r="AA24">
        <f>HYPERLINK("https://klasma.github.io/Logging_1273/klagomål/A 51859-2024 FSC-klagomål.docx", "A 51859-2024")</f>
        <v/>
      </c>
      <c r="AB24">
        <f>HYPERLINK("https://klasma.github.io/Logging_1273/klagomålsmail/A 51859-2024 FSC-klagomål mail.docx", "A 51859-2024")</f>
        <v/>
      </c>
      <c r="AC24">
        <f>HYPERLINK("https://klasma.github.io/Logging_1273/tillsyn/A 51859-2024 tillsynsbegäran.docx", "A 51859-2024")</f>
        <v/>
      </c>
      <c r="AD24">
        <f>HYPERLINK("https://klasma.github.io/Logging_1273/tillsynsmail/A 51859-2024 tillsynsbegäran mail.docx", "A 51859-2024")</f>
        <v/>
      </c>
      <c r="AE24">
        <f>HYPERLINK("https://klasma.github.io/Logging_1273/fåglar/A 51859-2024 prioriterade fågelarter.docx", "A 51859-2024")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46319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46319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46319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46319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46319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46319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46319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10056-2024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45364</v>
      </c>
      <c r="E32" s="1" t="n">
        <v>46319</v>
      </c>
      <c r="F32" t="inlineStr">
        <is>
          <t>SKÅNE LÄN</t>
        </is>
      </c>
      <c r="G32" t="inlineStr">
        <is>
          <t>OSBY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HYPERLINK("https://klasma.github.io/Logging_1273/artfynd/A 10056-2024 artfynd.xlsx", "A 10056-2024")</f>
        <v/>
      </c>
      <c r="X32">
        <f>HYPERLINK("https://klasma.github.io/Logging_1273/kartor/A 10056-2024 karta.png", "A 10056-2024")</f>
        <v/>
      </c>
      <c r="Y32">
        <f>HYPERLINK("https://klasma.github.io/Logging_1273/kartor_geotiff/A 10056-2024 georefererad karta.tif", "A 10056-2024")</f>
        <v/>
      </c>
      <c r="AA32">
        <f>HYPERLINK("https://klasma.github.io/Logging_1273/klagomål/A 10056-2024 FSC-klagomål.docx", "A 10056-2024")</f>
        <v/>
      </c>
      <c r="AB32">
        <f>HYPERLINK("https://klasma.github.io/Logging_1273/klagomålsmail/A 10056-2024 FSC-klagomål mail.docx", "A 10056-2024")</f>
        <v/>
      </c>
      <c r="AC32">
        <f>HYPERLINK("https://klasma.github.io/Logging_1273/tillsyn/A 10056-2024 tillsynsbegäran.docx", "A 10056-2024")</f>
        <v/>
      </c>
      <c r="AD32">
        <f>HYPERLINK("https://klasma.github.io/Logging_1273/tillsynsmail/A 10056-2024 tillsynsbegäran mail.docx", "A 10056-2024")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46319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24543-2026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46319</v>
      </c>
      <c r="F34" t="inlineStr">
        <is>
          <t>SKÅNE LÄN</t>
        </is>
      </c>
      <c r="G34" t="inlineStr">
        <is>
          <t>OSBY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HYPERLINK("https://klasma.github.io/Logging_1273/artfynd/A 24543-2026 artfynd.xlsx", "A 24543-2026")</f>
        <v/>
      </c>
      <c r="X34">
        <f>HYPERLINK("https://klasma.github.io/Logging_1273/kartor/A 24543-2026 karta.png", "A 24543-2026")</f>
        <v/>
      </c>
      <c r="Y34">
        <f>HYPERLINK("https://klasma.github.io/Logging_1273/kartor_geotiff/A 24543-2026 georefererad karta.tif", "A 24543-2026")</f>
        <v/>
      </c>
      <c r="AA34">
        <f>HYPERLINK("https://klasma.github.io/Logging_1273/klagomål/A 24543-2026 FSC-klagomål.docx", "A 24543-2026")</f>
        <v/>
      </c>
      <c r="AB34">
        <f>HYPERLINK("https://klasma.github.io/Logging_1273/klagomålsmail/A 24543-2026 FSC-klagomål mail.docx", "A 24543-2026")</f>
        <v/>
      </c>
      <c r="AC34">
        <f>HYPERLINK("https://klasma.github.io/Logging_1273/tillsyn/A 24543-2026 tillsynsbegäran.docx", "A 24543-2026")</f>
        <v/>
      </c>
      <c r="AD34">
        <f>HYPERLINK("https://klasma.github.io/Logging_1273/tillsynsmail/A 24543-2026 tillsynsbegäran mail.docx", "A 24543-2026")</f>
        <v/>
      </c>
    </row>
    <row r="35" ht="15" customHeight="1">
      <c r="A35" t="inlineStr">
        <is>
          <t>A 25909-2026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46319</v>
      </c>
      <c r="F35" t="inlineStr">
        <is>
          <t>SKÅNE LÄN</t>
        </is>
      </c>
      <c r="G35" t="inlineStr">
        <is>
          <t>OSBY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Kungsfågel</t>
        </is>
      </c>
      <c r="W35">
        <f>HYPERLINK("https://klasma.github.io/Logging_1273/artfynd/A 25909-2026 artfynd.xlsx", "A 25909-2026")</f>
        <v/>
      </c>
      <c r="X35">
        <f>HYPERLINK("https://klasma.github.io/Logging_1273/kartor/A 25909-2026 karta.png", "A 25909-2026")</f>
        <v/>
      </c>
      <c r="Y35">
        <f>HYPERLINK("https://klasma.github.io/Logging_1273/kartor_geotiff/A 25909-2026 georefererad karta.tif", "A 25909-2026")</f>
        <v/>
      </c>
      <c r="AA35">
        <f>HYPERLINK("https://klasma.github.io/Logging_1273/klagomål/A 25909-2026 FSC-klagomål.docx", "A 25909-2026")</f>
        <v/>
      </c>
      <c r="AB35">
        <f>HYPERLINK("https://klasma.github.io/Logging_1273/klagomålsmail/A 25909-2026 FSC-klagomål mail.docx", "A 25909-2026")</f>
        <v/>
      </c>
      <c r="AC35">
        <f>HYPERLINK("https://klasma.github.io/Logging_1273/tillsyn/A 25909-2026 tillsynsbegäran.docx", "A 25909-2026")</f>
        <v/>
      </c>
      <c r="AD35">
        <f>HYPERLINK("https://klasma.github.io/Logging_1273/tillsynsmail/A 25909-2026 tillsynsbegäran mail.docx", "A 25909-2026")</f>
        <v/>
      </c>
    </row>
    <row r="36" ht="15" customHeight="1">
      <c r="A36" t="inlineStr">
        <is>
          <t>A 26457-2026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46183</v>
      </c>
      <c r="E36" s="1" t="n">
        <v>46319</v>
      </c>
      <c r="F36" t="inlineStr">
        <is>
          <t>SKÅNE LÄN</t>
        </is>
      </c>
      <c r="G36" t="inlineStr">
        <is>
          <t>OSBY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Skogsduva</t>
        </is>
      </c>
      <c r="W36">
        <f>HYPERLINK("https://klasma.github.io/Logging_1273/artfynd/A 26457-2026 artfynd.xlsx", "A 26457-2026")</f>
        <v/>
      </c>
      <c r="X36">
        <f>HYPERLINK("https://klasma.github.io/Logging_1273/kartor/A 26457-2026 karta.png", "A 26457-2026")</f>
        <v/>
      </c>
      <c r="Y36">
        <f>HYPERLINK("https://klasma.github.io/Logging_1273/kartor_geotiff/A 26457-2026 georefererad karta.tif", "A 26457-2026")</f>
        <v/>
      </c>
      <c r="AA36">
        <f>HYPERLINK("https://klasma.github.io/Logging_1273/klagomål/A 26457-2026 FSC-klagomål.docx", "A 26457-2026")</f>
        <v/>
      </c>
      <c r="AB36">
        <f>HYPERLINK("https://klasma.github.io/Logging_1273/klagomålsmail/A 26457-2026 FSC-klagomål mail.docx", "A 26457-2026")</f>
        <v/>
      </c>
      <c r="AC36">
        <f>HYPERLINK("https://klasma.github.io/Logging_1273/tillsyn/A 26457-2026 tillsynsbegäran.docx", "A 26457-2026")</f>
        <v/>
      </c>
      <c r="AD36">
        <f>HYPERLINK("https://klasma.github.io/Logging_1273/tillsynsmail/A 26457-2026 tillsynsbegäran mail.docx", "A 26457-2026")</f>
        <v/>
      </c>
    </row>
    <row r="37" ht="15" customHeight="1">
      <c r="A37" t="inlineStr">
        <is>
          <t>A 27486-2026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46319</v>
      </c>
      <c r="F37" t="inlineStr">
        <is>
          <t>SKÅNE LÄN</t>
        </is>
      </c>
      <c r="G37" t="inlineStr">
        <is>
          <t>OSBY</t>
        </is>
      </c>
      <c r="H37" t="inlineStr">
        <is>
          <t>Sveaskog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Tofsmes</t>
        </is>
      </c>
      <c r="W37">
        <f>HYPERLINK("https://klasma.github.io/Logging_1273/artfynd/A 27486-2026 artfynd.xlsx", "A 27486-2026")</f>
        <v/>
      </c>
      <c r="X37">
        <f>HYPERLINK("https://klasma.github.io/Logging_1273/kartor/A 27486-2026 karta.png", "A 27486-2026")</f>
        <v/>
      </c>
      <c r="Y37">
        <f>HYPERLINK("https://klasma.github.io/Logging_1273/kartor_geotiff/A 27486-2026 georefererad karta.tif", "A 27486-2026")</f>
        <v/>
      </c>
      <c r="AA37">
        <f>HYPERLINK("https://klasma.github.io/Logging_1273/klagomål/A 27486-2026 FSC-klagomål.docx", "A 27486-2026")</f>
        <v/>
      </c>
      <c r="AB37">
        <f>HYPERLINK("https://klasma.github.io/Logging_1273/klagomålsmail/A 27486-2026 FSC-klagomål mail.docx", "A 27486-2026")</f>
        <v/>
      </c>
      <c r="AC37">
        <f>HYPERLINK("https://klasma.github.io/Logging_1273/tillsyn/A 27486-2026 tillsynsbegäran.docx", "A 27486-2026")</f>
        <v/>
      </c>
      <c r="AD37">
        <f>HYPERLINK("https://klasma.github.io/Logging_1273/tillsynsmail/A 27486-2026 tillsynsbegäran mail.docx", "A 27486-2026")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46319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HYPERLINK("https://klasma.github.io/Logging_1273/artfynd/A 16837-2023 artfynd.xlsx", "A 16837-2023")</f>
        <v/>
      </c>
      <c r="X38">
        <f>HYPERLINK("https://klasma.github.io/Logging_1273/kartor/A 16837-2023 karta.png", "A 16837-2023")</f>
        <v/>
      </c>
      <c r="Y38">
        <f>HYPERLINK("https://klasma.github.io/Logging_1273/kartor_geotiff/A 16837-2023 georefererad karta.tif", "A 16837-2023")</f>
        <v/>
      </c>
      <c r="AA38">
        <f>HYPERLINK("https://klasma.github.io/Logging_1273/klagomål/A 16837-2023 FSC-klagomål.docx", "A 16837-2023")</f>
        <v/>
      </c>
      <c r="AB38">
        <f>HYPERLINK("https://klasma.github.io/Logging_1273/klagomålsmail/A 16837-2023 FSC-klagomål mail.docx", "A 16837-2023")</f>
        <v/>
      </c>
      <c r="AC38">
        <f>HYPERLINK("https://klasma.github.io/Logging_1273/tillsyn/A 16837-2023 tillsynsbegäran.docx", "A 16837-2023")</f>
        <v/>
      </c>
      <c r="AD38">
        <f>HYPERLINK("https://klasma.github.io/Logging_1273/tillsynsmail/A 16837-2023 tillsynsbegäran mail.docx", "A 16837-2023")</f>
        <v/>
      </c>
      <c r="AE38">
        <f>HYPERLINK("https://klasma.github.io/Logging_1273/fåglar/A 16837-2023 prioriterade fågelarter.docx", "A 16837-2023")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46319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61738-2024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46319</v>
      </c>
      <c r="F40" t="inlineStr">
        <is>
          <t>SKÅNE LÄN</t>
        </is>
      </c>
      <c r="G40" t="inlineStr">
        <is>
          <t>OSBY</t>
        </is>
      </c>
      <c r="I40" t="n">
        <v>3.7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snok</t>
        </is>
      </c>
      <c r="W40">
        <f>HYPERLINK("https://klasma.github.io/Logging_1273/artfynd/A 61738-2024 artfynd.xlsx", "A 61738-2024")</f>
        <v/>
      </c>
      <c r="X40">
        <f>HYPERLINK("https://klasma.github.io/Logging_1273/kartor/A 61738-2024 karta.png", "A 61738-2024")</f>
        <v/>
      </c>
      <c r="Y40">
        <f>HYPERLINK("https://klasma.github.io/Logging_1273/kartor_geotiff/A 61738-2024 georefererad karta.tif", "A 61738-2024")</f>
        <v/>
      </c>
      <c r="AA40">
        <f>HYPERLINK("https://klasma.github.io/Logging_1273/klagomål/A 61738-2024 FSC-klagomål.docx", "A 61738-2024")</f>
        <v/>
      </c>
      <c r="AB40">
        <f>HYPERLINK("https://klasma.github.io/Logging_1273/klagomålsmail/A 61738-2024 FSC-klagomål mail.docx", "A 61738-2024")</f>
        <v/>
      </c>
      <c r="AC40">
        <f>HYPERLINK("https://klasma.github.io/Logging_1273/tillsyn/A 61738-2024 tillsynsbegäran.docx", "A 61738-2024")</f>
        <v/>
      </c>
      <c r="AD40">
        <f>HYPERLINK("https://klasma.github.io/Logging_1273/tillsynsmail/A 61738-2024 tillsynsbegäran mail.docx", "A 61738-2024")</f>
        <v/>
      </c>
    </row>
    <row r="41" ht="15" customHeight="1">
      <c r="A41" t="inlineStr">
        <is>
          <t>A 58641-2022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46319</v>
      </c>
      <c r="F41" t="inlineStr">
        <is>
          <t>SKÅNE LÄN</t>
        </is>
      </c>
      <c r="G41" t="inlineStr">
        <is>
          <t>OSBY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HYPERLINK("https://klasma.github.io/Logging_1273/artfynd/A 58641-2022 artfynd.xlsx", "A 58641-2022")</f>
        <v/>
      </c>
      <c r="X41">
        <f>HYPERLINK("https://klasma.github.io/Logging_1273/kartor/A 58641-2022 karta.png", "A 58641-2022")</f>
        <v/>
      </c>
      <c r="Y41">
        <f>HYPERLINK("https://klasma.github.io/Logging_1273/kartor_geotiff/A 58641-2022 georefererad karta.tif", "A 58641-2022")</f>
        <v/>
      </c>
      <c r="AA41">
        <f>HYPERLINK("https://klasma.github.io/Logging_1273/klagomål/A 58641-2022 FSC-klagomål.docx", "A 58641-2022")</f>
        <v/>
      </c>
      <c r="AB41">
        <f>HYPERLINK("https://klasma.github.io/Logging_1273/klagomålsmail/A 58641-2022 FSC-klagomål mail.docx", "A 58641-2022")</f>
        <v/>
      </c>
      <c r="AC41">
        <f>HYPERLINK("https://klasma.github.io/Logging_1273/tillsyn/A 58641-2022 tillsynsbegäran.docx", "A 58641-2022")</f>
        <v/>
      </c>
      <c r="AD41">
        <f>HYPERLINK("https://klasma.github.io/Logging_1273/tillsynsmail/A 58641-2022 tillsynsbegäran mail.docx", "A 58641-2022")</f>
        <v/>
      </c>
    </row>
    <row r="42" ht="15" customHeight="1">
      <c r="A42" t="inlineStr">
        <is>
          <t>A 24720-2025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46319</v>
      </c>
      <c r="F42" t="inlineStr">
        <is>
          <t>SKÅNE LÄN</t>
        </is>
      </c>
      <c r="G42" t="inlineStr">
        <is>
          <t>OSBY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Ask</t>
        </is>
      </c>
      <c r="W42">
        <f>HYPERLINK("https://klasma.github.io/Logging_1273/artfynd/A 24720-2025 artfynd.xlsx", "A 24720-2025")</f>
        <v/>
      </c>
      <c r="X42">
        <f>HYPERLINK("https://klasma.github.io/Logging_1273/kartor/A 24720-2025 karta.png", "A 24720-2025")</f>
        <v/>
      </c>
      <c r="Y42">
        <f>HYPERLINK("https://klasma.github.io/Logging_1273/kartor_geotiff/A 24720-2025 georefererad karta.tif", "A 24720-2025")</f>
        <v/>
      </c>
      <c r="AA42">
        <f>HYPERLINK("https://klasma.github.io/Logging_1273/klagomål/A 24720-2025 FSC-klagomål.docx", "A 24720-2025")</f>
        <v/>
      </c>
      <c r="AB42">
        <f>HYPERLINK("https://klasma.github.io/Logging_1273/klagomålsmail/A 24720-2025 FSC-klagomål mail.docx", "A 24720-2025")</f>
        <v/>
      </c>
      <c r="AC42">
        <f>HYPERLINK("https://klasma.github.io/Logging_1273/tillsyn/A 24720-2025 tillsynsbegäran.docx", "A 24720-2025")</f>
        <v/>
      </c>
      <c r="AD42">
        <f>HYPERLINK("https://klasma.github.io/Logging_1273/tillsynsmail/A 24720-2025 tillsynsbegäran mail.docx", "A 24720-2025")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46319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37500-2026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46319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8.4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HYPERLINK("https://klasma.github.io/Logging_1273/artfynd/A 37500-2026 artfynd.xlsx", "A 37500-2026")</f>
        <v/>
      </c>
      <c r="X44">
        <f>HYPERLINK("https://klasma.github.io/Logging_1273/kartor/A 37500-2026 karta.png", "A 37500-2026")</f>
        <v/>
      </c>
      <c r="Y44">
        <f>HYPERLINK("https://klasma.github.io/Logging_1273/kartor_geotiff/A 37500-2026 georefererad karta.tif", "A 37500-2026")</f>
        <v/>
      </c>
      <c r="AA44">
        <f>HYPERLINK("https://klasma.github.io/Logging_1273/klagomål/A 37500-2026 FSC-klagomål.docx", "A 37500-2026")</f>
        <v/>
      </c>
      <c r="AB44">
        <f>HYPERLINK("https://klasma.github.io/Logging_1273/klagomålsmail/A 37500-2026 FSC-klagomål mail.docx", "A 37500-2026")</f>
        <v/>
      </c>
      <c r="AC44">
        <f>HYPERLINK("https://klasma.github.io/Logging_1273/tillsyn/A 37500-2026 tillsynsbegäran.docx", "A 37500-2026")</f>
        <v/>
      </c>
      <c r="AD44">
        <f>HYPERLINK("https://klasma.github.io/Logging_1273/tillsynsmail/A 37500-2026 tillsynsbegäran mail.docx", "A 37500-2026")</f>
        <v/>
      </c>
    </row>
    <row r="45" ht="15" customHeight="1">
      <c r="A45" t="inlineStr">
        <is>
          <t>A 61517-2022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46319</v>
      </c>
      <c r="F45" t="inlineStr">
        <is>
          <t>SKÅNE LÄN</t>
        </is>
      </c>
      <c r="G45" t="inlineStr">
        <is>
          <t>OSBY</t>
        </is>
      </c>
      <c r="H45" t="inlineStr">
        <is>
          <t>Kyrkan</t>
        </is>
      </c>
      <c r="I45" t="n">
        <v>4.4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Blodticka</t>
        </is>
      </c>
      <c r="W45">
        <f>HYPERLINK("https://klasma.github.io/Logging_1273/artfynd/A 61517-2022 artfynd.xlsx", "A 61517-2022")</f>
        <v/>
      </c>
      <c r="X45">
        <f>HYPERLINK("https://klasma.github.io/Logging_1273/kartor/A 61517-2022 karta.png", "A 61517-2022")</f>
        <v/>
      </c>
      <c r="Y45">
        <f>HYPERLINK("https://klasma.github.io/Logging_1273/kartor_geotiff/A 61517-2022 georefererad karta.tif", "A 61517-2022")</f>
        <v/>
      </c>
      <c r="AA45">
        <f>HYPERLINK("https://klasma.github.io/Logging_1273/klagomål/A 61517-2022 FSC-klagomål.docx", "A 61517-2022")</f>
        <v/>
      </c>
      <c r="AB45">
        <f>HYPERLINK("https://klasma.github.io/Logging_1273/klagomålsmail/A 61517-2022 FSC-klagomål mail.docx", "A 61517-2022")</f>
        <v/>
      </c>
      <c r="AC45">
        <f>HYPERLINK("https://klasma.github.io/Logging_1273/tillsyn/A 61517-2022 tillsynsbegäran.docx", "A 61517-2022")</f>
        <v/>
      </c>
      <c r="AD45">
        <f>HYPERLINK("https://klasma.github.io/Logging_1273/tillsynsmail/A 61517-2022 tillsynsbegäran mail.docx", "A 61517-2022")</f>
        <v/>
      </c>
    </row>
    <row r="46" ht="15" customHeight="1">
      <c r="A46" t="inlineStr">
        <is>
          <t>A 59677-2023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45255</v>
      </c>
      <c r="E46" s="1" t="n">
        <v>46319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59677-2023 artfynd.xlsx", "A 59677-2023")</f>
        <v/>
      </c>
      <c r="X46">
        <f>HYPERLINK("https://klasma.github.io/Logging_1273/kartor/A 59677-2023 karta.png", "A 59677-2023")</f>
        <v/>
      </c>
      <c r="Y46">
        <f>HYPERLINK("https://klasma.github.io/Logging_1273/kartor_geotiff/A 59677-2023 georefererad karta.tif", "A 59677-2023")</f>
        <v/>
      </c>
      <c r="AA46">
        <f>HYPERLINK("https://klasma.github.io/Logging_1273/klagomål/A 59677-2023 FSC-klagomål.docx", "A 59677-2023")</f>
        <v/>
      </c>
      <c r="AB46">
        <f>HYPERLINK("https://klasma.github.io/Logging_1273/klagomålsmail/A 59677-2023 FSC-klagomål mail.docx", "A 59677-2023")</f>
        <v/>
      </c>
      <c r="AC46">
        <f>HYPERLINK("https://klasma.github.io/Logging_1273/tillsyn/A 59677-2023 tillsynsbegäran.docx", "A 59677-2023")</f>
        <v/>
      </c>
      <c r="AD46">
        <f>HYPERLINK("https://klasma.github.io/Logging_1273/tillsynsmail/A 59677-2023 tillsynsbegäran mail.docx", "A 59677-2023")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46319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13143-2023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46319</v>
      </c>
      <c r="F48" t="inlineStr">
        <is>
          <t>SKÅNE LÄN</t>
        </is>
      </c>
      <c r="G48" t="inlineStr">
        <is>
          <t>OSBY</t>
        </is>
      </c>
      <c r="I48" t="n">
        <v>13.5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Klippfrullania</t>
        </is>
      </c>
      <c r="W48">
        <f>HYPERLINK("https://klasma.github.io/Logging_1273/artfynd/A 13143-2023 artfynd.xlsx", "A 13143-2023")</f>
        <v/>
      </c>
      <c r="X48">
        <f>HYPERLINK("https://klasma.github.io/Logging_1273/kartor/A 13143-2023 karta.png", "A 13143-2023")</f>
        <v/>
      </c>
      <c r="Y48">
        <f>HYPERLINK("https://klasma.github.io/Logging_1273/kartor_geotiff/A 13143-2023 georefererad karta.tif", "A 13143-2023")</f>
        <v/>
      </c>
      <c r="AA48">
        <f>HYPERLINK("https://klasma.github.io/Logging_1273/klagomål/A 13143-2023 FSC-klagomål.docx", "A 13143-2023")</f>
        <v/>
      </c>
      <c r="AB48">
        <f>HYPERLINK("https://klasma.github.io/Logging_1273/klagomålsmail/A 13143-2023 FSC-klagomål mail.docx", "A 13143-2023")</f>
        <v/>
      </c>
      <c r="AC48">
        <f>HYPERLINK("https://klasma.github.io/Logging_1273/tillsyn/A 13143-2023 tillsynsbegäran.docx", "A 13143-2023")</f>
        <v/>
      </c>
      <c r="AD48">
        <f>HYPERLINK("https://klasma.github.io/Logging_1273/tillsynsmail/A 13143-2023 tillsynsbegäran mail.docx", "A 13143-2023")</f>
        <v/>
      </c>
    </row>
    <row r="49" ht="15" customHeight="1">
      <c r="A49" t="inlineStr">
        <is>
          <t>A 33486-2022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46319</v>
      </c>
      <c r="F49" t="inlineStr">
        <is>
          <t>SKÅNE LÄN</t>
        </is>
      </c>
      <c r="G49" t="inlineStr">
        <is>
          <t>OSBY</t>
        </is>
      </c>
      <c r="I49" t="n">
        <v>7.8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Sparvuggla</t>
        </is>
      </c>
      <c r="W49">
        <f>HYPERLINK("https://klasma.github.io/Logging_1273/artfynd/A 33486-2022 artfynd.xlsx", "A 33486-2022")</f>
        <v/>
      </c>
      <c r="X49">
        <f>HYPERLINK("https://klasma.github.io/Logging_1273/kartor/A 33486-2022 karta.png", "A 33486-2022")</f>
        <v/>
      </c>
      <c r="Y49">
        <f>HYPERLINK("https://klasma.github.io/Logging_1273/kartor_geotiff/A 33486-2022 georefererad karta.tif", "A 33486-2022")</f>
        <v/>
      </c>
      <c r="AA49">
        <f>HYPERLINK("https://klasma.github.io/Logging_1273/klagomål/A 33486-2022 FSC-klagomål.docx", "A 33486-2022")</f>
        <v/>
      </c>
      <c r="AB49">
        <f>HYPERLINK("https://klasma.github.io/Logging_1273/klagomålsmail/A 33486-2022 FSC-klagomål mail.docx", "A 33486-2022")</f>
        <v/>
      </c>
      <c r="AC49">
        <f>HYPERLINK("https://klasma.github.io/Logging_1273/tillsyn/A 33486-2022 tillsynsbegäran.docx", "A 33486-2022")</f>
        <v/>
      </c>
      <c r="AD49">
        <f>HYPERLINK("https://klasma.github.io/Logging_1273/tillsynsmail/A 33486-2022 tillsynsbegäran mail.docx", "A 33486-2022")</f>
        <v/>
      </c>
      <c r="AE49">
        <f>HYPERLINK("https://klasma.github.io/Logging_1273/fåglar/A 33486-2022 prioriterade fågelarter.docx", "A 33486-2022")</f>
        <v/>
      </c>
    </row>
    <row r="50" ht="15" customHeight="1">
      <c r="A50" t="inlineStr">
        <is>
          <t>A 42027-2023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45177</v>
      </c>
      <c r="E50" s="1" t="n">
        <v>46319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Grovticka</t>
        </is>
      </c>
      <c r="W50">
        <f>HYPERLINK("https://klasma.github.io/Logging_1273/artfynd/A 42027-2023 artfynd.xlsx", "A 42027-2023")</f>
        <v/>
      </c>
      <c r="X50">
        <f>HYPERLINK("https://klasma.github.io/Logging_1273/kartor/A 42027-2023 karta.png", "A 42027-2023")</f>
        <v/>
      </c>
      <c r="Y50">
        <f>HYPERLINK("https://klasma.github.io/Logging_1273/kartor_geotiff/A 42027-2023 georefererad karta.tif", "A 42027-2023")</f>
        <v/>
      </c>
      <c r="AA50">
        <f>HYPERLINK("https://klasma.github.io/Logging_1273/klagomål/A 42027-2023 FSC-klagomål.docx", "A 42027-2023")</f>
        <v/>
      </c>
      <c r="AB50">
        <f>HYPERLINK("https://klasma.github.io/Logging_1273/klagomålsmail/A 42027-2023 FSC-klagomål mail.docx", "A 42027-2023")</f>
        <v/>
      </c>
      <c r="AC50">
        <f>HYPERLINK("https://klasma.github.io/Logging_1273/tillsyn/A 42027-2023 tillsynsbegäran.docx", "A 42027-2023")</f>
        <v/>
      </c>
      <c r="AD50">
        <f>HYPERLINK("https://klasma.github.io/Logging_1273/tillsynsmail/A 42027-2023 tillsynsbegäran mail.docx", "A 42027-2023")</f>
        <v/>
      </c>
    </row>
    <row r="51" ht="15" customHeight="1">
      <c r="A51" t="inlineStr">
        <is>
          <t>A 31722-2023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45117</v>
      </c>
      <c r="E51" s="1" t="n">
        <v>46319</v>
      </c>
      <c r="F51" t="inlineStr">
        <is>
          <t>SKÅNE LÄN</t>
        </is>
      </c>
      <c r="G51" t="inlineStr">
        <is>
          <t>OSBY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Klockgentiana</t>
        </is>
      </c>
      <c r="W51">
        <f>HYPERLINK("https://klasma.github.io/Logging_1273/artfynd/A 31722-2023 artfynd.xlsx", "A 31722-2023")</f>
        <v/>
      </c>
      <c r="X51">
        <f>HYPERLINK("https://klasma.github.io/Logging_1273/kartor/A 31722-2023 karta.png", "A 31722-2023")</f>
        <v/>
      </c>
      <c r="Y51">
        <f>HYPERLINK("https://klasma.github.io/Logging_1273/kartor_geotiff/A 31722-2023 georefererad karta.tif", "A 31722-2023")</f>
        <v/>
      </c>
      <c r="AA51">
        <f>HYPERLINK("https://klasma.github.io/Logging_1273/klagomål/A 31722-2023 FSC-klagomål.docx", "A 31722-2023")</f>
        <v/>
      </c>
      <c r="AB51">
        <f>HYPERLINK("https://klasma.github.io/Logging_1273/klagomålsmail/A 31722-2023 FSC-klagomål mail.docx", "A 31722-2023")</f>
        <v/>
      </c>
      <c r="AC51">
        <f>HYPERLINK("https://klasma.github.io/Logging_1273/tillsyn/A 31722-2023 tillsynsbegäran.docx", "A 31722-2023")</f>
        <v/>
      </c>
      <c r="AD51">
        <f>HYPERLINK("https://klasma.github.io/Logging_1273/tillsynsmail/A 31722-2023 tillsynsbegäran mail.docx", "A 31722-2023")</f>
        <v/>
      </c>
    </row>
    <row r="52" ht="15" customHeight="1">
      <c r="A52" t="inlineStr">
        <is>
          <t>A 20227-2022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44698</v>
      </c>
      <c r="E52" s="1" t="n">
        <v>46319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7.1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Havsörn</t>
        </is>
      </c>
      <c r="W52">
        <f>HYPERLINK("https://klasma.github.io/Logging_1273/artfynd/A 20227-2022 artfynd.xlsx", "A 20227-2022")</f>
        <v/>
      </c>
      <c r="X52">
        <f>HYPERLINK("https://klasma.github.io/Logging_1273/kartor/A 20227-2022 karta.png", "A 20227-2022")</f>
        <v/>
      </c>
      <c r="Y52">
        <f>HYPERLINK("https://klasma.github.io/Logging_1273/kartor_geotiff/A 20227-2022 georefererad karta.tif", "A 20227-2022")</f>
        <v/>
      </c>
      <c r="AA52">
        <f>HYPERLINK("https://klasma.github.io/Logging_1273/klagomål/A 20227-2022 FSC-klagomål.docx", "A 20227-2022")</f>
        <v/>
      </c>
      <c r="AB52">
        <f>HYPERLINK("https://klasma.github.io/Logging_1273/klagomålsmail/A 20227-2022 FSC-klagomål mail.docx", "A 20227-2022")</f>
        <v/>
      </c>
      <c r="AC52">
        <f>HYPERLINK("https://klasma.github.io/Logging_1273/tillsyn/A 20227-2022 tillsynsbegäran.docx", "A 20227-2022")</f>
        <v/>
      </c>
      <c r="AD52">
        <f>HYPERLINK("https://klasma.github.io/Logging_1273/tillsynsmail/A 20227-2022 tillsynsbegäran mail.docx", "A 20227-2022")</f>
        <v/>
      </c>
      <c r="AE52">
        <f>HYPERLINK("https://klasma.github.io/Logging_1273/fåglar/A 20227-2022 prioriterade fågelarter.docx", "A 20227-2022")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46319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46319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46319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46319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46319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46319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46319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46319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46319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46319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46319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46319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46319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46319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46319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46319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46319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46319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46319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46319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46319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46319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46319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46319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46319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46319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46319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46319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46319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46319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46319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46319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46319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46319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46319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46319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46319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46319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46319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46319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46319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46319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46319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46319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46319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46319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46319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46319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46319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46319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46319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46319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46319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46319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46319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46319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46319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46319</v>
      </c>
      <c r="F110" t="inlineStr">
        <is>
          <t>SKÅNE LÄN</t>
        </is>
      </c>
      <c r="G110" t="inlineStr">
        <is>
          <t>OSBY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45573</v>
      </c>
      <c r="E111" s="1" t="n">
        <v>46319</v>
      </c>
      <c r="F111" t="inlineStr">
        <is>
          <t>SKÅNE LÄN</t>
        </is>
      </c>
      <c r="G111" t="inlineStr">
        <is>
          <t>OSBY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46319</v>
      </c>
      <c r="F112" t="inlineStr">
        <is>
          <t>SKÅNE LÄN</t>
        </is>
      </c>
      <c r="G112" t="inlineStr">
        <is>
          <t>OSBY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45555</v>
      </c>
      <c r="E113" s="1" t="n">
        <v>46319</v>
      </c>
      <c r="F113" t="inlineStr">
        <is>
          <t>SKÅNE LÄN</t>
        </is>
      </c>
      <c r="G113" t="inlineStr">
        <is>
          <t>OSBY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46319</v>
      </c>
      <c r="F114" t="inlineStr">
        <is>
          <t>SKÅNE LÄN</t>
        </is>
      </c>
      <c r="G114" t="inlineStr">
        <is>
          <t>OSBY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44631</v>
      </c>
      <c r="E115" s="1" t="n">
        <v>46319</v>
      </c>
      <c r="F115" t="inlineStr">
        <is>
          <t>SKÅNE LÄN</t>
        </is>
      </c>
      <c r="G115" t="inlineStr">
        <is>
          <t>OSBY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46319</v>
      </c>
      <c r="F116" t="inlineStr">
        <is>
          <t>SKÅNE LÄN</t>
        </is>
      </c>
      <c r="G116" t="inlineStr">
        <is>
          <t>OSBY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46319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45016</v>
      </c>
      <c r="E118" s="1" t="n">
        <v>46319</v>
      </c>
      <c r="F118" t="inlineStr">
        <is>
          <t>SKÅNE LÄN</t>
        </is>
      </c>
      <c r="G118" t="inlineStr">
        <is>
          <t>OSBY</t>
        </is>
      </c>
      <c r="H118" t="inlineStr">
        <is>
          <t>Naturvårdsverket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46319</v>
      </c>
      <c r="F119" t="inlineStr">
        <is>
          <t>SKÅNE LÄN</t>
        </is>
      </c>
      <c r="G119" t="inlineStr">
        <is>
          <t>OSBY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46319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46319</v>
      </c>
      <c r="F121" t="inlineStr">
        <is>
          <t>SKÅNE LÄN</t>
        </is>
      </c>
      <c r="G121" t="inlineStr">
        <is>
          <t>OSBY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45341</v>
      </c>
      <c r="E122" s="1" t="n">
        <v>46319</v>
      </c>
      <c r="F122" t="inlineStr">
        <is>
          <t>SKÅNE LÄN</t>
        </is>
      </c>
      <c r="G122" t="inlineStr">
        <is>
          <t>OSBY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46319</v>
      </c>
      <c r="F123" t="inlineStr">
        <is>
          <t>SKÅNE LÄN</t>
        </is>
      </c>
      <c r="G123" t="inlineStr">
        <is>
          <t>OSBY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46319</v>
      </c>
      <c r="F124" t="inlineStr">
        <is>
          <t>SKÅNE LÄN</t>
        </is>
      </c>
      <c r="G124" t="inlineStr">
        <is>
          <t>OSBY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46319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46319</v>
      </c>
      <c r="F126" t="inlineStr">
        <is>
          <t>SKÅNE LÄN</t>
        </is>
      </c>
      <c r="G126" t="inlineStr">
        <is>
          <t>OSBY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46319</v>
      </c>
      <c r="F127" t="inlineStr">
        <is>
          <t>SKÅNE LÄN</t>
        </is>
      </c>
      <c r="G127" t="inlineStr">
        <is>
          <t>OSBY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45342</v>
      </c>
      <c r="E128" s="1" t="n">
        <v>46319</v>
      </c>
      <c r="F128" t="inlineStr">
        <is>
          <t>SKÅNE LÄN</t>
        </is>
      </c>
      <c r="G128" t="inlineStr">
        <is>
          <t>OSBY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46319</v>
      </c>
      <c r="F129" t="inlineStr">
        <is>
          <t>SKÅNE LÄN</t>
        </is>
      </c>
      <c r="G129" t="inlineStr">
        <is>
          <t>OSBY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46319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46319</v>
      </c>
      <c r="F131" t="inlineStr">
        <is>
          <t>SKÅNE LÄN</t>
        </is>
      </c>
      <c r="G131" t="inlineStr">
        <is>
          <t>OSBY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46319</v>
      </c>
      <c r="F132" t="inlineStr">
        <is>
          <t>SKÅNE LÄN</t>
        </is>
      </c>
      <c r="G132" t="inlineStr">
        <is>
          <t>OSBY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46319</v>
      </c>
      <c r="F133" t="inlineStr">
        <is>
          <t>SKÅNE LÄN</t>
        </is>
      </c>
      <c r="G133" t="inlineStr">
        <is>
          <t>OSBY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46319</v>
      </c>
      <c r="F134" t="inlineStr">
        <is>
          <t>SKÅNE LÄN</t>
        </is>
      </c>
      <c r="G134" t="inlineStr">
        <is>
          <t>OSBY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45097</v>
      </c>
      <c r="E135" s="1" t="n">
        <v>46319</v>
      </c>
      <c r="F135" t="inlineStr">
        <is>
          <t>SKÅNE LÄN</t>
        </is>
      </c>
      <c r="G135" t="inlineStr">
        <is>
          <t>OSBY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46319</v>
      </c>
      <c r="F136" t="inlineStr">
        <is>
          <t>SKÅNE LÄN</t>
        </is>
      </c>
      <c r="G136" t="inlineStr">
        <is>
          <t>OSBY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46319</v>
      </c>
      <c r="F137" t="inlineStr">
        <is>
          <t>SKÅNE LÄN</t>
        </is>
      </c>
      <c r="G137" t="inlineStr">
        <is>
          <t>OSBY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46319</v>
      </c>
      <c r="F138" t="inlineStr">
        <is>
          <t>SKÅNE LÄN</t>
        </is>
      </c>
      <c r="G138" t="inlineStr">
        <is>
          <t>OSBY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46319</v>
      </c>
      <c r="F139" t="inlineStr">
        <is>
          <t>SKÅNE LÄN</t>
        </is>
      </c>
      <c r="G139" t="inlineStr">
        <is>
          <t>OSBY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46319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46319</v>
      </c>
      <c r="F141" t="inlineStr">
        <is>
          <t>SKÅNE LÄN</t>
        </is>
      </c>
      <c r="G141" t="inlineStr">
        <is>
          <t>OSBY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46319</v>
      </c>
      <c r="F142" t="inlineStr">
        <is>
          <t>SKÅNE LÄN</t>
        </is>
      </c>
      <c r="G142" t="inlineStr">
        <is>
          <t>OSBY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46319</v>
      </c>
      <c r="F143" t="inlineStr">
        <is>
          <t>SKÅNE LÄN</t>
        </is>
      </c>
      <c r="G143" t="inlineStr">
        <is>
          <t>OSBY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46319</v>
      </c>
      <c r="F144" t="inlineStr">
        <is>
          <t>SKÅNE LÄN</t>
        </is>
      </c>
      <c r="G144" t="inlineStr">
        <is>
          <t>OSBY</t>
        </is>
      </c>
      <c r="H144" t="inlineStr">
        <is>
          <t>Kommuner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46319</v>
      </c>
      <c r="F145" t="inlineStr">
        <is>
          <t>SKÅNE LÄN</t>
        </is>
      </c>
      <c r="G145" t="inlineStr">
        <is>
          <t>OSBY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46319</v>
      </c>
      <c r="F146" t="inlineStr">
        <is>
          <t>SKÅNE LÄN</t>
        </is>
      </c>
      <c r="G146" t="inlineStr">
        <is>
          <t>OSBY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46319</v>
      </c>
      <c r="F147" t="inlineStr">
        <is>
          <t>SKÅNE LÄN</t>
        </is>
      </c>
      <c r="G147" t="inlineStr">
        <is>
          <t>OSBY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46319</v>
      </c>
      <c r="F148" t="inlineStr">
        <is>
          <t>SKÅNE LÄN</t>
        </is>
      </c>
      <c r="G148" t="inlineStr">
        <is>
          <t>OSBY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46319</v>
      </c>
      <c r="F149" t="inlineStr">
        <is>
          <t>SKÅNE LÄN</t>
        </is>
      </c>
      <c r="G149" t="inlineStr">
        <is>
          <t>OSBY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46319</v>
      </c>
      <c r="F150" t="inlineStr">
        <is>
          <t>SKÅNE LÄN</t>
        </is>
      </c>
      <c r="G150" t="inlineStr">
        <is>
          <t>OSBY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46319</v>
      </c>
      <c r="F151" t="inlineStr">
        <is>
          <t>SKÅNE LÄN</t>
        </is>
      </c>
      <c r="G151" t="inlineStr">
        <is>
          <t>OSBY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46319</v>
      </c>
      <c r="F152" t="inlineStr">
        <is>
          <t>SKÅNE LÄN</t>
        </is>
      </c>
      <c r="G152" t="inlineStr">
        <is>
          <t>OSBY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46319</v>
      </c>
      <c r="F153" t="inlineStr">
        <is>
          <t>SKÅNE LÄN</t>
        </is>
      </c>
      <c r="G153" t="inlineStr">
        <is>
          <t>OSBY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46319</v>
      </c>
      <c r="F154" t="inlineStr">
        <is>
          <t>SKÅNE LÄN</t>
        </is>
      </c>
      <c r="G154" t="inlineStr">
        <is>
          <t>OSBY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46319</v>
      </c>
      <c r="F155" t="inlineStr">
        <is>
          <t>SKÅNE LÄN</t>
        </is>
      </c>
      <c r="G155" t="inlineStr">
        <is>
          <t>OSBY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25149-2026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46175</v>
      </c>
      <c r="E156" s="1" t="n">
        <v>46319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45375</v>
      </c>
      <c r="E157" s="1" t="n">
        <v>46319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46319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46319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44904</v>
      </c>
      <c r="E160" s="1" t="n">
        <v>46319</v>
      </c>
      <c r="F160" t="inlineStr">
        <is>
          <t>SKÅNE LÄN</t>
        </is>
      </c>
      <c r="G160" t="inlineStr">
        <is>
          <t>OSBY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46319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46319</v>
      </c>
      <c r="F162" t="inlineStr">
        <is>
          <t>SKÅNE LÄN</t>
        </is>
      </c>
      <c r="G162" t="inlineStr">
        <is>
          <t>OSBY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46319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46319</v>
      </c>
      <c r="F164" t="inlineStr">
        <is>
          <t>SKÅNE LÄN</t>
        </is>
      </c>
      <c r="G164" t="inlineStr">
        <is>
          <t>OSBY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46319</v>
      </c>
      <c r="F165" t="inlineStr">
        <is>
          <t>SKÅNE LÄN</t>
        </is>
      </c>
      <c r="G165" t="inlineStr">
        <is>
          <t>OSBY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44783</v>
      </c>
      <c r="E166" s="1" t="n">
        <v>46319</v>
      </c>
      <c r="F166" t="inlineStr">
        <is>
          <t>SKÅNE LÄN</t>
        </is>
      </c>
      <c r="G166" t="inlineStr">
        <is>
          <t>OSBY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45573</v>
      </c>
      <c r="E167" s="1" t="n">
        <v>46319</v>
      </c>
      <c r="F167" t="inlineStr">
        <is>
          <t>SKÅNE LÄN</t>
        </is>
      </c>
      <c r="G167" t="inlineStr">
        <is>
          <t>OSBY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46319</v>
      </c>
      <c r="F168" t="inlineStr">
        <is>
          <t>SKÅNE LÄN</t>
        </is>
      </c>
      <c r="G168" t="inlineStr">
        <is>
          <t>OSBY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46319</v>
      </c>
      <c r="F169" t="inlineStr">
        <is>
          <t>SKÅNE LÄN</t>
        </is>
      </c>
      <c r="G169" t="inlineStr">
        <is>
          <t>OSBY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46319</v>
      </c>
      <c r="F170" t="inlineStr">
        <is>
          <t>SKÅNE LÄN</t>
        </is>
      </c>
      <c r="G170" t="inlineStr">
        <is>
          <t>OSBY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46319</v>
      </c>
      <c r="F171" t="inlineStr">
        <is>
          <t>SKÅNE LÄN</t>
        </is>
      </c>
      <c r="G171" t="inlineStr">
        <is>
          <t>OSBY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44823</v>
      </c>
      <c r="E172" s="1" t="n">
        <v>46319</v>
      </c>
      <c r="F172" t="inlineStr">
        <is>
          <t>SKÅNE LÄN</t>
        </is>
      </c>
      <c r="G172" t="inlineStr">
        <is>
          <t>OSBY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46319</v>
      </c>
      <c r="F173" t="inlineStr">
        <is>
          <t>SKÅNE LÄN</t>
        </is>
      </c>
      <c r="G173" t="inlineStr">
        <is>
          <t>OSBY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46319</v>
      </c>
      <c r="F174" t="inlineStr">
        <is>
          <t>SKÅNE LÄN</t>
        </is>
      </c>
      <c r="G174" t="inlineStr">
        <is>
          <t>OSBY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46319</v>
      </c>
      <c r="F175" t="inlineStr">
        <is>
          <t>SKÅNE LÄN</t>
        </is>
      </c>
      <c r="G175" t="inlineStr">
        <is>
          <t>OSBY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45447</v>
      </c>
      <c r="E176" s="1" t="n">
        <v>46319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46319</v>
      </c>
      <c r="F177" t="inlineStr">
        <is>
          <t>SKÅNE LÄN</t>
        </is>
      </c>
      <c r="G177" t="inlineStr">
        <is>
          <t>OSBY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46319</v>
      </c>
      <c r="F178" t="inlineStr">
        <is>
          <t>SKÅNE LÄN</t>
        </is>
      </c>
      <c r="G178" t="inlineStr">
        <is>
          <t>OSBY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46319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46319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46180</v>
      </c>
      <c r="E181" s="1" t="n">
        <v>46319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46180</v>
      </c>
      <c r="E182" s="1" t="n">
        <v>46319</v>
      </c>
      <c r="F182" t="inlineStr">
        <is>
          <t>SKÅNE LÄN</t>
        </is>
      </c>
      <c r="G182" t="inlineStr">
        <is>
          <t>OSBY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74033-2021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44557</v>
      </c>
      <c r="E183" s="1" t="n">
        <v>46319</v>
      </c>
      <c r="F183" t="inlineStr">
        <is>
          <t>SKÅNE LÄN</t>
        </is>
      </c>
      <c r="G183" t="inlineStr">
        <is>
          <t>OSBY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46319</v>
      </c>
      <c r="F184" t="inlineStr">
        <is>
          <t>SKÅNE LÄN</t>
        </is>
      </c>
      <c r="G184" t="inlineStr">
        <is>
          <t>OSBY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46319</v>
      </c>
      <c r="F185" t="inlineStr">
        <is>
          <t>SKÅNE LÄN</t>
        </is>
      </c>
      <c r="G185" t="inlineStr">
        <is>
          <t>OSBY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46180</v>
      </c>
      <c r="E186" s="1" t="n">
        <v>46319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46319</v>
      </c>
      <c r="F187" t="inlineStr">
        <is>
          <t>SKÅNE LÄN</t>
        </is>
      </c>
      <c r="G187" t="inlineStr">
        <is>
          <t>OSBY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46319</v>
      </c>
      <c r="F188" t="inlineStr">
        <is>
          <t>SKÅNE LÄN</t>
        </is>
      </c>
      <c r="G188" t="inlineStr">
        <is>
          <t>OSBY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45683</v>
      </c>
      <c r="E189" s="1" t="n">
        <v>46319</v>
      </c>
      <c r="F189" t="inlineStr">
        <is>
          <t>SKÅNE LÄN</t>
        </is>
      </c>
      <c r="G189" t="inlineStr">
        <is>
          <t>OSBY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46319</v>
      </c>
      <c r="F190" t="inlineStr">
        <is>
          <t>SKÅNE LÄN</t>
        </is>
      </c>
      <c r="G190" t="inlineStr">
        <is>
          <t>OSBY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46319</v>
      </c>
      <c r="F191" t="inlineStr">
        <is>
          <t>SKÅNE LÄN</t>
        </is>
      </c>
      <c r="G191" t="inlineStr">
        <is>
          <t>OSBY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46319</v>
      </c>
      <c r="F192" t="inlineStr">
        <is>
          <t>SKÅNE LÄN</t>
        </is>
      </c>
      <c r="G192" t="inlineStr">
        <is>
          <t>OSBY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46319</v>
      </c>
      <c r="F193" t="inlineStr">
        <is>
          <t>SKÅNE LÄN</t>
        </is>
      </c>
      <c r="G193" t="inlineStr">
        <is>
          <t>OSBY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45353</v>
      </c>
      <c r="E194" s="1" t="n">
        <v>46319</v>
      </c>
      <c r="F194" t="inlineStr">
        <is>
          <t>SKÅNE LÄN</t>
        </is>
      </c>
      <c r="G194" t="inlineStr">
        <is>
          <t>OSBY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46319</v>
      </c>
      <c r="F195" t="inlineStr">
        <is>
          <t>SKÅNE LÄN</t>
        </is>
      </c>
      <c r="G195" t="inlineStr">
        <is>
          <t>OSBY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46319</v>
      </c>
      <c r="F196" t="inlineStr">
        <is>
          <t>SKÅNE LÄN</t>
        </is>
      </c>
      <c r="G196" t="inlineStr">
        <is>
          <t>OSBY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45268</v>
      </c>
      <c r="E197" s="1" t="n">
        <v>46319</v>
      </c>
      <c r="F197" t="inlineStr">
        <is>
          <t>SKÅNE LÄN</t>
        </is>
      </c>
      <c r="G197" t="inlineStr">
        <is>
          <t>OSBY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46319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46319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46189</v>
      </c>
      <c r="E200" s="1" t="n">
        <v>46319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46189</v>
      </c>
      <c r="E201" s="1" t="n">
        <v>46319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46189</v>
      </c>
      <c r="E202" s="1" t="n">
        <v>46319</v>
      </c>
      <c r="F202" t="inlineStr">
        <is>
          <t>SKÅNE LÄN</t>
        </is>
      </c>
      <c r="G202" t="inlineStr">
        <is>
          <t>OSBY</t>
        </is>
      </c>
      <c r="H202" t="inlineStr">
        <is>
          <t>Sveaskog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46319</v>
      </c>
      <c r="F203" t="inlineStr">
        <is>
          <t>SKÅNE LÄN</t>
        </is>
      </c>
      <c r="G203" t="inlineStr">
        <is>
          <t>OSBY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46319</v>
      </c>
      <c r="F204" t="inlineStr">
        <is>
          <t>SKÅNE LÄN</t>
        </is>
      </c>
      <c r="G204" t="inlineStr">
        <is>
          <t>OSBY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46319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46319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46319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46319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46319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45964</v>
      </c>
      <c r="E210" s="1" t="n">
        <v>46319</v>
      </c>
      <c r="F210" t="inlineStr">
        <is>
          <t>SKÅNE LÄN</t>
        </is>
      </c>
      <c r="G210" t="inlineStr">
        <is>
          <t>OSBY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46319</v>
      </c>
      <c r="F211" t="inlineStr">
        <is>
          <t>SKÅNE LÄN</t>
        </is>
      </c>
      <c r="G211" t="inlineStr">
        <is>
          <t>OSBY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46319</v>
      </c>
      <c r="F212" t="inlineStr">
        <is>
          <t>SKÅNE LÄN</t>
        </is>
      </c>
      <c r="G212" t="inlineStr">
        <is>
          <t>OSBY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46319</v>
      </c>
      <c r="F213" t="inlineStr">
        <is>
          <t>SKÅNE LÄN</t>
        </is>
      </c>
      <c r="G213" t="inlineStr">
        <is>
          <t>OSBY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46319</v>
      </c>
      <c r="F214" t="inlineStr">
        <is>
          <t>SKÅNE LÄN</t>
        </is>
      </c>
      <c r="G214" t="inlineStr">
        <is>
          <t>OSBY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46319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46319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45628</v>
      </c>
      <c r="E217" s="1" t="n">
        <v>46319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46199</v>
      </c>
      <c r="E218" s="1" t="n">
        <v>46319</v>
      </c>
      <c r="F218" t="inlineStr">
        <is>
          <t>SKÅNE LÄN</t>
        </is>
      </c>
      <c r="G218" t="inlineStr">
        <is>
          <t>OSBY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46319</v>
      </c>
      <c r="F219" t="inlineStr">
        <is>
          <t>SKÅNE LÄN</t>
        </is>
      </c>
      <c r="G219" t="inlineStr">
        <is>
          <t>OSBY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45648</v>
      </c>
      <c r="E220" s="1" t="n">
        <v>46319</v>
      </c>
      <c r="F220" t="inlineStr">
        <is>
          <t>SKÅNE LÄN</t>
        </is>
      </c>
      <c r="G220" t="inlineStr">
        <is>
          <t>OSBY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46200</v>
      </c>
      <c r="E221" s="1" t="n">
        <v>46319</v>
      </c>
      <c r="F221" t="inlineStr">
        <is>
          <t>SKÅNE LÄN</t>
        </is>
      </c>
      <c r="G221" t="inlineStr">
        <is>
          <t>OSBY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46199</v>
      </c>
      <c r="E222" s="1" t="n">
        <v>46319</v>
      </c>
      <c r="F222" t="inlineStr">
        <is>
          <t>SKÅNE LÄN</t>
        </is>
      </c>
      <c r="G222" t="inlineStr">
        <is>
          <t>OSBY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45033</v>
      </c>
      <c r="E223" s="1" t="n">
        <v>46319</v>
      </c>
      <c r="F223" t="inlineStr">
        <is>
          <t>SKÅNE LÄN</t>
        </is>
      </c>
      <c r="G223" t="inlineStr">
        <is>
          <t>OSBY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46319</v>
      </c>
      <c r="F224" t="inlineStr">
        <is>
          <t>SKÅNE LÄN</t>
        </is>
      </c>
      <c r="G224" t="inlineStr">
        <is>
          <t>OSBY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46319</v>
      </c>
      <c r="F225" t="inlineStr">
        <is>
          <t>SKÅNE LÄN</t>
        </is>
      </c>
      <c r="G225" t="inlineStr">
        <is>
          <t>OSBY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46319</v>
      </c>
      <c r="F226" t="inlineStr">
        <is>
          <t>SKÅNE LÄN</t>
        </is>
      </c>
      <c r="G226" t="inlineStr">
        <is>
          <t>OSBY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46319</v>
      </c>
      <c r="F227" t="inlineStr">
        <is>
          <t>SKÅNE LÄN</t>
        </is>
      </c>
      <c r="G227" t="inlineStr">
        <is>
          <t>OSBY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44903</v>
      </c>
      <c r="E228" s="1" t="n">
        <v>46319</v>
      </c>
      <c r="F228" t="inlineStr">
        <is>
          <t>SKÅNE LÄN</t>
        </is>
      </c>
      <c r="G228" t="inlineStr">
        <is>
          <t>OSBY</t>
        </is>
      </c>
      <c r="H228" t="inlineStr">
        <is>
          <t>Kommuner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46205</v>
      </c>
      <c r="E229" s="1" t="n">
        <v>46319</v>
      </c>
      <c r="F229" t="inlineStr">
        <is>
          <t>SKÅNE LÄN</t>
        </is>
      </c>
      <c r="G229" t="inlineStr">
        <is>
          <t>OSBY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46319</v>
      </c>
      <c r="F230" t="inlineStr">
        <is>
          <t>SKÅNE LÄN</t>
        </is>
      </c>
      <c r="G230" t="inlineStr">
        <is>
          <t>OSBY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46319</v>
      </c>
      <c r="F231" t="inlineStr">
        <is>
          <t>SKÅNE LÄN</t>
        </is>
      </c>
      <c r="G231" t="inlineStr">
        <is>
          <t>OSBY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46319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46319</v>
      </c>
      <c r="F233" t="inlineStr">
        <is>
          <t>SKÅNE LÄN</t>
        </is>
      </c>
      <c r="G233" t="inlineStr">
        <is>
          <t>OSBY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45323</v>
      </c>
      <c r="E234" s="1" t="n">
        <v>46319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46319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46319</v>
      </c>
      <c r="F236" t="inlineStr">
        <is>
          <t>SKÅNE LÄN</t>
        </is>
      </c>
      <c r="G236" t="inlineStr">
        <is>
          <t>OSBY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45686</v>
      </c>
      <c r="E237" s="1" t="n">
        <v>46319</v>
      </c>
      <c r="F237" t="inlineStr">
        <is>
          <t>SKÅNE LÄN</t>
        </is>
      </c>
      <c r="G237" t="inlineStr">
        <is>
          <t>OSBY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46319</v>
      </c>
      <c r="F238" t="inlineStr">
        <is>
          <t>SKÅNE LÄN</t>
        </is>
      </c>
      <c r="G238" t="inlineStr">
        <is>
          <t>OSBY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46319</v>
      </c>
      <c r="F239" t="inlineStr">
        <is>
          <t>SKÅNE LÄN</t>
        </is>
      </c>
      <c r="G239" t="inlineStr">
        <is>
          <t>OSBY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46319</v>
      </c>
      <c r="F240" t="inlineStr">
        <is>
          <t>SKÅNE LÄN</t>
        </is>
      </c>
      <c r="G240" t="inlineStr">
        <is>
          <t>OSBY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46213</v>
      </c>
      <c r="E241" s="1" t="n">
        <v>46319</v>
      </c>
      <c r="F241" t="inlineStr">
        <is>
          <t>SKÅNE LÄN</t>
        </is>
      </c>
      <c r="G241" t="inlineStr">
        <is>
          <t>OSBY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45471</v>
      </c>
      <c r="E242" s="1" t="n">
        <v>46319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46213</v>
      </c>
      <c r="E243" s="1" t="n">
        <v>46319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46319</v>
      </c>
      <c r="F244" t="inlineStr">
        <is>
          <t>SKÅNE LÄN</t>
        </is>
      </c>
      <c r="G244" t="inlineStr">
        <is>
          <t>OSBY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46319</v>
      </c>
      <c r="F245" t="inlineStr">
        <is>
          <t>SKÅNE LÄN</t>
        </is>
      </c>
      <c r="G245" t="inlineStr">
        <is>
          <t>OSBY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45996</v>
      </c>
      <c r="E246" s="1" t="n">
        <v>46319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46319</v>
      </c>
      <c r="F247" t="inlineStr">
        <is>
          <t>SKÅNE LÄN</t>
        </is>
      </c>
      <c r="G247" t="inlineStr">
        <is>
          <t>OSBY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46319</v>
      </c>
      <c r="F248" t="inlineStr">
        <is>
          <t>SKÅNE LÄN</t>
        </is>
      </c>
      <c r="G248" t="inlineStr">
        <is>
          <t>OSBY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46319</v>
      </c>
      <c r="F249" t="inlineStr">
        <is>
          <t>SKÅNE LÄN</t>
        </is>
      </c>
      <c r="G249" t="inlineStr">
        <is>
          <t>OSBY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46319</v>
      </c>
      <c r="F250" t="inlineStr">
        <is>
          <t>SKÅNE LÄN</t>
        </is>
      </c>
      <c r="G250" t="inlineStr">
        <is>
          <t>OSBY</t>
        </is>
      </c>
      <c r="I250" t="n">
        <v>15.1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45518</v>
      </c>
      <c r="E251" s="1" t="n">
        <v>46319</v>
      </c>
      <c r="F251" t="inlineStr">
        <is>
          <t>SKÅNE LÄN</t>
        </is>
      </c>
      <c r="G251" t="inlineStr">
        <is>
          <t>OSBY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46319</v>
      </c>
      <c r="F252" t="inlineStr">
        <is>
          <t>SKÅNE LÄN</t>
        </is>
      </c>
      <c r="G252" t="inlineStr">
        <is>
          <t>OSBY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46319</v>
      </c>
      <c r="F253" t="inlineStr">
        <is>
          <t>SKÅNE LÄN</t>
        </is>
      </c>
      <c r="G253" t="inlineStr">
        <is>
          <t>OSBY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46319</v>
      </c>
      <c r="F254" t="inlineStr">
        <is>
          <t>SKÅNE LÄN</t>
        </is>
      </c>
      <c r="G254" t="inlineStr">
        <is>
          <t>OSBY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46319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46319</v>
      </c>
      <c r="F256" t="inlineStr">
        <is>
          <t>SKÅNE LÄN</t>
        </is>
      </c>
      <c r="G256" t="inlineStr">
        <is>
          <t>OSBY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46319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46319</v>
      </c>
      <c r="F258" t="inlineStr">
        <is>
          <t>SKÅNE LÄN</t>
        </is>
      </c>
      <c r="G258" t="inlineStr">
        <is>
          <t>OSBY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46319</v>
      </c>
      <c r="F259" t="inlineStr">
        <is>
          <t>SKÅNE LÄN</t>
        </is>
      </c>
      <c r="G259" t="inlineStr">
        <is>
          <t>OSBY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46319</v>
      </c>
      <c r="F260" t="inlineStr">
        <is>
          <t>SKÅNE LÄN</t>
        </is>
      </c>
      <c r="G260" t="inlineStr">
        <is>
          <t>OSBY</t>
        </is>
      </c>
      <c r="H260" t="inlineStr">
        <is>
          <t>Kyrkan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46319</v>
      </c>
      <c r="F261" t="inlineStr">
        <is>
          <t>SKÅNE LÄN</t>
        </is>
      </c>
      <c r="G261" t="inlineStr">
        <is>
          <t>OSBY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46319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46319</v>
      </c>
      <c r="F263" t="inlineStr">
        <is>
          <t>SKÅNE LÄN</t>
        </is>
      </c>
      <c r="G263" t="inlineStr">
        <is>
          <t>OSBY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46282</v>
      </c>
      <c r="E264" s="1" t="n">
        <v>46319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46319</v>
      </c>
      <c r="F265" t="inlineStr">
        <is>
          <t>SKÅNE LÄN</t>
        </is>
      </c>
      <c r="G265" t="inlineStr">
        <is>
          <t>OSBY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46319</v>
      </c>
      <c r="F266" t="inlineStr">
        <is>
          <t>SKÅNE LÄN</t>
        </is>
      </c>
      <c r="G266" t="inlineStr">
        <is>
          <t>OSBY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46319</v>
      </c>
      <c r="F267" t="inlineStr">
        <is>
          <t>SKÅNE LÄN</t>
        </is>
      </c>
      <c r="G267" t="inlineStr">
        <is>
          <t>OSBY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45019</v>
      </c>
      <c r="E268" s="1" t="n">
        <v>46319</v>
      </c>
      <c r="F268" t="inlineStr">
        <is>
          <t>SKÅNE LÄN</t>
        </is>
      </c>
      <c r="G268" t="inlineStr">
        <is>
          <t>OSBY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45708</v>
      </c>
      <c r="E269" s="1" t="n">
        <v>46319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46037</v>
      </c>
      <c r="E270" s="1" t="n">
        <v>46319</v>
      </c>
      <c r="F270" t="inlineStr">
        <is>
          <t>SKÅNE LÄN</t>
        </is>
      </c>
      <c r="G270" t="inlineStr">
        <is>
          <t>OSBY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46319</v>
      </c>
      <c r="F271" t="inlineStr">
        <is>
          <t>SKÅNE LÄN</t>
        </is>
      </c>
      <c r="G271" t="inlineStr">
        <is>
          <t>OSBY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46319</v>
      </c>
      <c r="F272" t="inlineStr">
        <is>
          <t>SKÅNE LÄN</t>
        </is>
      </c>
      <c r="G272" t="inlineStr">
        <is>
          <t>OSBY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44827</v>
      </c>
      <c r="E273" s="1" t="n">
        <v>46319</v>
      </c>
      <c r="F273" t="inlineStr">
        <is>
          <t>SKÅNE LÄN</t>
        </is>
      </c>
      <c r="G273" t="inlineStr">
        <is>
          <t>OSBY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46319</v>
      </c>
      <c r="F274" t="inlineStr">
        <is>
          <t>SKÅNE LÄN</t>
        </is>
      </c>
      <c r="G274" t="inlineStr">
        <is>
          <t>OSBY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46319</v>
      </c>
      <c r="F275" t="inlineStr">
        <is>
          <t>SKÅNE LÄN</t>
        </is>
      </c>
      <c r="G275" t="inlineStr">
        <is>
          <t>OSBY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45055</v>
      </c>
      <c r="E276" s="1" t="n">
        <v>46319</v>
      </c>
      <c r="F276" t="inlineStr">
        <is>
          <t>SKÅNE LÄN</t>
        </is>
      </c>
      <c r="G276" t="inlineStr">
        <is>
          <t>OSBY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46319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46319</v>
      </c>
      <c r="F278" t="inlineStr">
        <is>
          <t>SKÅNE LÄN</t>
        </is>
      </c>
      <c r="G278" t="inlineStr">
        <is>
          <t>OSBY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45471</v>
      </c>
      <c r="E279" s="1" t="n">
        <v>46319</v>
      </c>
      <c r="F279" t="inlineStr">
        <is>
          <t>SKÅNE LÄN</t>
        </is>
      </c>
      <c r="G279" t="inlineStr">
        <is>
          <t>OSBY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46319</v>
      </c>
      <c r="F280" t="inlineStr">
        <is>
          <t>SKÅNE LÄN</t>
        </is>
      </c>
      <c r="G280" t="inlineStr">
        <is>
          <t>OSBY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46319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66984-2021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44522</v>
      </c>
      <c r="E282" s="1" t="n">
        <v>46319</v>
      </c>
      <c r="F282" t="inlineStr">
        <is>
          <t>SKÅNE LÄN</t>
        </is>
      </c>
      <c r="G282" t="inlineStr">
        <is>
          <t>OSBY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46319</v>
      </c>
      <c r="F283" t="inlineStr">
        <is>
          <t>SKÅNE LÄN</t>
        </is>
      </c>
      <c r="G283" t="inlineStr">
        <is>
          <t>OSBY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46319</v>
      </c>
      <c r="F284" t="inlineStr">
        <is>
          <t>SKÅNE LÄN</t>
        </is>
      </c>
      <c r="G284" t="inlineStr">
        <is>
          <t>OSBY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46319</v>
      </c>
      <c r="F285" t="inlineStr">
        <is>
          <t>SKÅNE LÄN</t>
        </is>
      </c>
      <c r="G285" t="inlineStr">
        <is>
          <t>OSBY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58751-2024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45635</v>
      </c>
      <c r="E286" s="1" t="n">
        <v>46319</v>
      </c>
      <c r="F286" t="inlineStr">
        <is>
          <t>SKÅNE LÄN</t>
        </is>
      </c>
      <c r="G286" t="inlineStr">
        <is>
          <t>OSBY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46319</v>
      </c>
      <c r="F287" t="inlineStr">
        <is>
          <t>SKÅNE LÄN</t>
        </is>
      </c>
      <c r="G287" t="inlineStr">
        <is>
          <t>OSBY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46253</v>
      </c>
      <c r="E288" s="1" t="n">
        <v>46319</v>
      </c>
      <c r="F288" t="inlineStr">
        <is>
          <t>SKÅNE LÄN</t>
        </is>
      </c>
      <c r="G288" t="inlineStr">
        <is>
          <t>OSBY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46319</v>
      </c>
      <c r="F289" t="inlineStr">
        <is>
          <t>SKÅNE LÄN</t>
        </is>
      </c>
      <c r="G289" t="inlineStr">
        <is>
          <t>OSBY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46319</v>
      </c>
      <c r="F290" t="inlineStr">
        <is>
          <t>SKÅNE LÄN</t>
        </is>
      </c>
      <c r="G290" t="inlineStr">
        <is>
          <t>OSBY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46254</v>
      </c>
      <c r="E291" s="1" t="n">
        <v>46319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46319</v>
      </c>
      <c r="F292" t="inlineStr">
        <is>
          <t>SKÅNE LÄN</t>
        </is>
      </c>
      <c r="G292" t="inlineStr">
        <is>
          <t>OSBY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46089</v>
      </c>
      <c r="E293" s="1" t="n">
        <v>46319</v>
      </c>
      <c r="F293" t="inlineStr">
        <is>
          <t>SKÅNE LÄN</t>
        </is>
      </c>
      <c r="G293" t="inlineStr">
        <is>
          <t>OSBY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46319</v>
      </c>
      <c r="F294" t="inlineStr">
        <is>
          <t>SKÅNE LÄN</t>
        </is>
      </c>
      <c r="G294" t="inlineStr">
        <is>
          <t>OSBY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46089</v>
      </c>
      <c r="E295" s="1" t="n">
        <v>46319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46319</v>
      </c>
      <c r="F296" t="inlineStr">
        <is>
          <t>SKÅNE LÄN</t>
        </is>
      </c>
      <c r="G296" t="inlineStr">
        <is>
          <t>OSBY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46319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46319</v>
      </c>
      <c r="F298" t="inlineStr">
        <is>
          <t>SKÅNE LÄN</t>
        </is>
      </c>
      <c r="G298" t="inlineStr">
        <is>
          <t>OSBY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44921</v>
      </c>
      <c r="E299" s="1" t="n">
        <v>46319</v>
      </c>
      <c r="F299" t="inlineStr">
        <is>
          <t>SKÅNE LÄN</t>
        </is>
      </c>
      <c r="G299" t="inlineStr">
        <is>
          <t>OSBY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46247</v>
      </c>
      <c r="E300" s="1" t="n">
        <v>46319</v>
      </c>
      <c r="F300" t="inlineStr">
        <is>
          <t>SKÅNE LÄN</t>
        </is>
      </c>
      <c r="G300" t="inlineStr">
        <is>
          <t>OSBY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46100</v>
      </c>
      <c r="E301" s="1" t="n">
        <v>46319</v>
      </c>
      <c r="F301" t="inlineStr">
        <is>
          <t>SKÅNE LÄN</t>
        </is>
      </c>
      <c r="G301" t="inlineStr">
        <is>
          <t>OSBY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46319</v>
      </c>
      <c r="F302" t="inlineStr">
        <is>
          <t>SKÅNE LÄN</t>
        </is>
      </c>
      <c r="G302" t="inlineStr">
        <is>
          <t>OSBY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46319</v>
      </c>
      <c r="F303" t="inlineStr">
        <is>
          <t>SKÅNE LÄN</t>
        </is>
      </c>
      <c r="G303" t="inlineStr">
        <is>
          <t>OSBY</t>
        </is>
      </c>
      <c r="I303" t="n">
        <v>11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45844</v>
      </c>
      <c r="E304" s="1" t="n">
        <v>46319</v>
      </c>
      <c r="F304" t="inlineStr">
        <is>
          <t>SKÅNE LÄN</t>
        </is>
      </c>
      <c r="G304" t="inlineStr">
        <is>
          <t>OSBY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46319</v>
      </c>
      <c r="F305" t="inlineStr">
        <is>
          <t>SKÅNE LÄN</t>
        </is>
      </c>
      <c r="G305" t="inlineStr">
        <is>
          <t>OSBY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46319</v>
      </c>
      <c r="F306" t="inlineStr">
        <is>
          <t>SKÅNE LÄN</t>
        </is>
      </c>
      <c r="G306" t="inlineStr">
        <is>
          <t>OSBY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46319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45377</v>
      </c>
      <c r="E308" s="1" t="n">
        <v>46319</v>
      </c>
      <c r="F308" t="inlineStr">
        <is>
          <t>SKÅNE LÄN</t>
        </is>
      </c>
      <c r="G308" t="inlineStr">
        <is>
          <t>OSBY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46302</v>
      </c>
      <c r="E309" s="1" t="n">
        <v>46319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45744</v>
      </c>
      <c r="E310" s="1" t="n">
        <v>46319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45548</v>
      </c>
      <c r="E311" s="1" t="n">
        <v>46319</v>
      </c>
      <c r="F311" t="inlineStr">
        <is>
          <t>SKÅNE LÄN</t>
        </is>
      </c>
      <c r="G311" t="inlineStr">
        <is>
          <t>OSBY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46319</v>
      </c>
      <c r="F312" t="inlineStr">
        <is>
          <t>SKÅNE LÄN</t>
        </is>
      </c>
      <c r="G312" t="inlineStr">
        <is>
          <t>OSBY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46319</v>
      </c>
      <c r="F313" t="inlineStr">
        <is>
          <t>SKÅNE LÄN</t>
        </is>
      </c>
      <c r="G313" t="inlineStr">
        <is>
          <t>OSBY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46319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46319</v>
      </c>
      <c r="F315" t="inlineStr">
        <is>
          <t>SKÅNE LÄN</t>
        </is>
      </c>
      <c r="G315" t="inlineStr">
        <is>
          <t>OSBY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46319</v>
      </c>
      <c r="F316" t="inlineStr">
        <is>
          <t>SKÅNE LÄN</t>
        </is>
      </c>
      <c r="G316" t="inlineStr">
        <is>
          <t>OSBY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46319</v>
      </c>
      <c r="F317" t="inlineStr">
        <is>
          <t>SKÅNE LÄN</t>
        </is>
      </c>
      <c r="G317" t="inlineStr">
        <is>
          <t>OSBY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46319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46319</v>
      </c>
      <c r="F319" t="inlineStr">
        <is>
          <t>SKÅNE LÄN</t>
        </is>
      </c>
      <c r="G319" t="inlineStr">
        <is>
          <t>OSBY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44610</v>
      </c>
      <c r="E320" s="1" t="n">
        <v>46319</v>
      </c>
      <c r="F320" t="inlineStr">
        <is>
          <t>SKÅNE LÄN</t>
        </is>
      </c>
      <c r="G320" t="inlineStr">
        <is>
          <t>OSBY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46319</v>
      </c>
      <c r="F321" t="inlineStr">
        <is>
          <t>SKÅNE LÄN</t>
        </is>
      </c>
      <c r="G321" t="inlineStr">
        <is>
          <t>OSBY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46319</v>
      </c>
      <c r="F322" t="inlineStr">
        <is>
          <t>SKÅNE LÄN</t>
        </is>
      </c>
      <c r="G322" t="inlineStr">
        <is>
          <t>OSBY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46319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46319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45162</v>
      </c>
      <c r="E325" s="1" t="n">
        <v>46319</v>
      </c>
      <c r="F325" t="inlineStr">
        <is>
          <t>SKÅNE LÄN</t>
        </is>
      </c>
      <c r="G325" t="inlineStr">
        <is>
          <t>OSBY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46319</v>
      </c>
      <c r="F326" t="inlineStr">
        <is>
          <t>SKÅNE LÄN</t>
        </is>
      </c>
      <c r="G326" t="inlineStr">
        <is>
          <t>OSBY</t>
        </is>
      </c>
      <c r="H326" t="inlineStr">
        <is>
          <t>Sveaskog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46319</v>
      </c>
      <c r="F327" t="inlineStr">
        <is>
          <t>SKÅNE LÄN</t>
        </is>
      </c>
      <c r="G327" t="inlineStr">
        <is>
          <t>OSBY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46319</v>
      </c>
      <c r="F328" t="inlineStr">
        <is>
          <t>SKÅNE LÄN</t>
        </is>
      </c>
      <c r="G328" t="inlineStr">
        <is>
          <t>OSBY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45362</v>
      </c>
      <c r="E329" s="1" t="n">
        <v>46319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46319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44902</v>
      </c>
      <c r="E331" s="1" t="n">
        <v>46319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46319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46319</v>
      </c>
      <c r="F333" t="inlineStr">
        <is>
          <t>SKÅNE LÄN</t>
        </is>
      </c>
      <c r="G333" t="inlineStr">
        <is>
          <t>OSBY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45785</v>
      </c>
      <c r="E334" s="1" t="n">
        <v>46319</v>
      </c>
      <c r="F334" t="inlineStr">
        <is>
          <t>SKÅNE LÄN</t>
        </is>
      </c>
      <c r="G334" t="inlineStr">
        <is>
          <t>OSBY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46319</v>
      </c>
      <c r="F335" t="inlineStr">
        <is>
          <t>SKÅNE LÄN</t>
        </is>
      </c>
      <c r="G335" t="inlineStr">
        <is>
          <t>OSBY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46310</v>
      </c>
      <c r="E336" s="1" t="n">
        <v>46319</v>
      </c>
      <c r="F336" t="inlineStr">
        <is>
          <t>SKÅNE LÄN</t>
        </is>
      </c>
      <c r="G336" t="inlineStr">
        <is>
          <t>OSBY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42717-2026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46308</v>
      </c>
      <c r="E337" s="1" t="n">
        <v>46319</v>
      </c>
      <c r="F337" t="inlineStr">
        <is>
          <t>SKÅNE LÄN</t>
        </is>
      </c>
      <c r="G337" t="inlineStr">
        <is>
          <t>OSBY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46319</v>
      </c>
      <c r="F338" t="inlineStr">
        <is>
          <t>SKÅNE LÄN</t>
        </is>
      </c>
      <c r="G338" t="inlineStr">
        <is>
          <t>OSBY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45762</v>
      </c>
      <c r="E339" s="1" t="n">
        <v>46319</v>
      </c>
      <c r="F339" t="inlineStr">
        <is>
          <t>SKÅNE LÄN</t>
        </is>
      </c>
      <c r="G339" t="inlineStr">
        <is>
          <t>OSBY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45177</v>
      </c>
      <c r="E340" s="1" t="n">
        <v>46319</v>
      </c>
      <c r="F340" t="inlineStr">
        <is>
          <t>SKÅNE LÄN</t>
        </is>
      </c>
      <c r="G340" t="inlineStr">
        <is>
          <t>OSBY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44620</v>
      </c>
      <c r="E341" s="1" t="n">
        <v>46319</v>
      </c>
      <c r="F341" t="inlineStr">
        <is>
          <t>SKÅNE LÄN</t>
        </is>
      </c>
      <c r="G341" t="inlineStr">
        <is>
          <t>OSBY</t>
        </is>
      </c>
      <c r="H341" t="inlineStr">
        <is>
          <t>Kommuner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46266</v>
      </c>
      <c r="E342" s="1" t="n">
        <v>46319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44620</v>
      </c>
      <c r="E343" s="1" t="n">
        <v>46319</v>
      </c>
      <c r="F343" t="inlineStr">
        <is>
          <t>SKÅNE LÄN</t>
        </is>
      </c>
      <c r="G343" t="inlineStr">
        <is>
          <t>OSBY</t>
        </is>
      </c>
      <c r="H343" t="inlineStr">
        <is>
          <t>Kommuner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46319</v>
      </c>
      <c r="F344" t="inlineStr">
        <is>
          <t>SKÅNE LÄN</t>
        </is>
      </c>
      <c r="G344" t="inlineStr">
        <is>
          <t>OSBY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69093-2021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44530</v>
      </c>
      <c r="E345" s="1" t="n">
        <v>46319</v>
      </c>
      <c r="F345" t="inlineStr">
        <is>
          <t>SKÅNE LÄN</t>
        </is>
      </c>
      <c r="G345" t="inlineStr">
        <is>
          <t>OSBY</t>
        </is>
      </c>
      <c r="H345" t="inlineStr">
        <is>
          <t>Kommuner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46319</v>
      </c>
      <c r="F346" t="inlineStr">
        <is>
          <t>SKÅNE LÄN</t>
        </is>
      </c>
      <c r="G346" t="inlineStr">
        <is>
          <t>OSBY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45506</v>
      </c>
      <c r="E347" s="1" t="n">
        <v>46319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46319</v>
      </c>
      <c r="F348" t="inlineStr">
        <is>
          <t>SKÅNE LÄN</t>
        </is>
      </c>
      <c r="G348" t="inlineStr">
        <is>
          <t>OSBY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46309</v>
      </c>
      <c r="E349" s="1" t="n">
        <v>46319</v>
      </c>
      <c r="F349" t="inlineStr">
        <is>
          <t>SKÅNE LÄN</t>
        </is>
      </c>
      <c r="G349" t="inlineStr">
        <is>
          <t>OSBY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59236-2022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46319</v>
      </c>
      <c r="F350" t="inlineStr">
        <is>
          <t>SKÅNE LÄN</t>
        </is>
      </c>
      <c r="G350" t="inlineStr">
        <is>
          <t>OSBY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46319</v>
      </c>
      <c r="F351" t="inlineStr">
        <is>
          <t>SKÅNE LÄN</t>
        </is>
      </c>
      <c r="G351" t="inlineStr">
        <is>
          <t>OSBY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44620</v>
      </c>
      <c r="E352" s="1" t="n">
        <v>46319</v>
      </c>
      <c r="F352" t="inlineStr">
        <is>
          <t>SKÅNE LÄN</t>
        </is>
      </c>
      <c r="G352" t="inlineStr">
        <is>
          <t>OSBY</t>
        </is>
      </c>
      <c r="H352" t="inlineStr">
        <is>
          <t>Kommuner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36342-2026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46268</v>
      </c>
      <c r="E353" s="1" t="n">
        <v>46319</v>
      </c>
      <c r="F353" t="inlineStr">
        <is>
          <t>SKÅNE LÄN</t>
        </is>
      </c>
      <c r="G353" t="inlineStr">
        <is>
          <t>OSBY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36344-2026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46319</v>
      </c>
      <c r="F354" t="inlineStr">
        <is>
          <t>SKÅNE LÄN</t>
        </is>
      </c>
      <c r="G354" t="inlineStr">
        <is>
          <t>OSBY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46319</v>
      </c>
      <c r="F355" t="inlineStr">
        <is>
          <t>SKÅNE LÄN</t>
        </is>
      </c>
      <c r="G355" t="inlineStr">
        <is>
          <t>OSBY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46314</v>
      </c>
      <c r="E356" s="1" t="n">
        <v>46319</v>
      </c>
      <c r="F356" t="inlineStr">
        <is>
          <t>SKÅNE LÄN</t>
        </is>
      </c>
      <c r="G356" t="inlineStr">
        <is>
          <t>OSBY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46319</v>
      </c>
      <c r="F357" t="inlineStr">
        <is>
          <t>SKÅNE LÄN</t>
        </is>
      </c>
      <c r="G357" t="inlineStr">
        <is>
          <t>OSBY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46265</v>
      </c>
      <c r="E358" s="1" t="n">
        <v>46319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45154</v>
      </c>
      <c r="E359" s="1" t="n">
        <v>46319</v>
      </c>
      <c r="F359" t="inlineStr">
        <is>
          <t>SKÅNE LÄN</t>
        </is>
      </c>
      <c r="G359" t="inlineStr">
        <is>
          <t>OSBY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45572</v>
      </c>
      <c r="E360" s="1" t="n">
        <v>46319</v>
      </c>
      <c r="F360" t="inlineStr">
        <is>
          <t>SKÅNE LÄN</t>
        </is>
      </c>
      <c r="G360" t="inlineStr">
        <is>
          <t>OSBY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46268</v>
      </c>
      <c r="E361" s="1" t="n">
        <v>46319</v>
      </c>
      <c r="F361" t="inlineStr">
        <is>
          <t>SKÅNE LÄN</t>
        </is>
      </c>
      <c r="G361" t="inlineStr">
        <is>
          <t>OSBY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46314</v>
      </c>
      <c r="E362" s="1" t="n">
        <v>46319</v>
      </c>
      <c r="F362" t="inlineStr">
        <is>
          <t>SKÅNE LÄN</t>
        </is>
      </c>
      <c r="G362" t="inlineStr">
        <is>
          <t>OSBY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46310</v>
      </c>
      <c r="E363" s="1" t="n">
        <v>46319</v>
      </c>
      <c r="F363" t="inlineStr">
        <is>
          <t>SKÅNE LÄN</t>
        </is>
      </c>
      <c r="G363" t="inlineStr">
        <is>
          <t>OSBY</t>
        </is>
      </c>
      <c r="H363" t="inlineStr">
        <is>
          <t>Kyrkan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45191-2024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45575</v>
      </c>
      <c r="E364" s="1" t="n">
        <v>46319</v>
      </c>
      <c r="F364" t="inlineStr">
        <is>
          <t>SKÅNE LÄN</t>
        </is>
      </c>
      <c r="G364" t="inlineStr">
        <is>
          <t>OSBY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46319</v>
      </c>
      <c r="F365" t="inlineStr">
        <is>
          <t>SKÅNE LÄN</t>
        </is>
      </c>
      <c r="G365" t="inlineStr">
        <is>
          <t>OSBY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10775-2024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45369</v>
      </c>
      <c r="E366" s="1" t="n">
        <v>46319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45197</v>
      </c>
      <c r="E367" s="1" t="n">
        <v>46319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44935</v>
      </c>
      <c r="E368" s="1" t="n">
        <v>46319</v>
      </c>
      <c r="F368" t="inlineStr">
        <is>
          <t>SKÅNE LÄN</t>
        </is>
      </c>
      <c r="G368" t="inlineStr">
        <is>
          <t>OSBY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46319</v>
      </c>
      <c r="F369" t="inlineStr">
        <is>
          <t>SKÅNE LÄN</t>
        </is>
      </c>
      <c r="G369" t="inlineStr">
        <is>
          <t>OSBY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46275</v>
      </c>
      <c r="E370" s="1" t="n">
        <v>46319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44965</v>
      </c>
      <c r="E371" s="1" t="n">
        <v>46319</v>
      </c>
      <c r="F371" t="inlineStr">
        <is>
          <t>SKÅNE LÄN</t>
        </is>
      </c>
      <c r="G371" t="inlineStr">
        <is>
          <t>OSBY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46319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67613-2021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44524</v>
      </c>
      <c r="E373" s="1" t="n">
        <v>46319</v>
      </c>
      <c r="F373" t="inlineStr">
        <is>
          <t>SKÅNE LÄN</t>
        </is>
      </c>
      <c r="G373" t="inlineStr">
        <is>
          <t>OSBY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44524</v>
      </c>
      <c r="E374" s="1" t="n">
        <v>46319</v>
      </c>
      <c r="F374" t="inlineStr">
        <is>
          <t>SKÅNE LÄN</t>
        </is>
      </c>
      <c r="G374" t="inlineStr">
        <is>
          <t>OSBY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46319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46319</v>
      </c>
      <c r="F376" t="inlineStr">
        <is>
          <t>SKÅNE LÄN</t>
        </is>
      </c>
      <c r="G376" t="inlineStr">
        <is>
          <t>OSBY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46319</v>
      </c>
      <c r="F377" t="inlineStr">
        <is>
          <t>SKÅNE LÄN</t>
        </is>
      </c>
      <c r="G377" t="inlineStr">
        <is>
          <t>OSBY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44740</v>
      </c>
      <c r="E378" s="1" t="n">
        <v>46319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46319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45390</v>
      </c>
      <c r="E380" s="1" t="n">
        <v>46319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44610</v>
      </c>
      <c r="E381" s="1" t="n">
        <v>46319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46319</v>
      </c>
      <c r="F382" t="inlineStr">
        <is>
          <t>SKÅNE LÄN</t>
        </is>
      </c>
      <c r="G382" t="inlineStr">
        <is>
          <t>OSBY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45364</v>
      </c>
      <c r="E383" s="1" t="n">
        <v>46319</v>
      </c>
      <c r="F383" t="inlineStr">
        <is>
          <t>SKÅNE LÄN</t>
        </is>
      </c>
      <c r="G383" t="inlineStr">
        <is>
          <t>OSBY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46319</v>
      </c>
      <c r="F384" t="inlineStr">
        <is>
          <t>SKÅNE LÄN</t>
        </is>
      </c>
      <c r="G384" t="inlineStr">
        <is>
          <t>OSBY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46319</v>
      </c>
      <c r="F385" t="inlineStr">
        <is>
          <t>SKÅNE LÄN</t>
        </is>
      </c>
      <c r="G385" t="inlineStr">
        <is>
          <t>OSBY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46319</v>
      </c>
      <c r="F386" t="inlineStr">
        <is>
          <t>SKÅNE LÄN</t>
        </is>
      </c>
      <c r="G386" t="inlineStr">
        <is>
          <t>OSBY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46319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45524</v>
      </c>
      <c r="E388" s="1" t="n">
        <v>46319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15568-2022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44662</v>
      </c>
      <c r="E389" s="1" t="n">
        <v>46319</v>
      </c>
      <c r="F389" t="inlineStr">
        <is>
          <t>SKÅNE LÄN</t>
        </is>
      </c>
      <c r="G389" t="inlineStr">
        <is>
          <t>OSBY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45037</v>
      </c>
      <c r="E390" s="1" t="n">
        <v>46319</v>
      </c>
      <c r="F390" t="inlineStr">
        <is>
          <t>SKÅNE LÄN</t>
        </is>
      </c>
      <c r="G390" t="inlineStr">
        <is>
          <t>OSBY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44679</v>
      </c>
      <c r="E391" s="1" t="n">
        <v>46319</v>
      </c>
      <c r="F391" t="inlineStr">
        <is>
          <t>SKÅNE LÄN</t>
        </is>
      </c>
      <c r="G391" t="inlineStr">
        <is>
          <t>OSBY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46319</v>
      </c>
      <c r="F392" t="inlineStr">
        <is>
          <t>SKÅNE LÄN</t>
        </is>
      </c>
      <c r="G392" t="inlineStr">
        <is>
          <t>OSBY</t>
        </is>
      </c>
      <c r="H392" t="inlineStr">
        <is>
          <t>Kyrkan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46319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46319</v>
      </c>
      <c r="F394" t="inlineStr">
        <is>
          <t>SKÅNE LÄN</t>
        </is>
      </c>
      <c r="G394" t="inlineStr">
        <is>
          <t>OSBY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46319</v>
      </c>
      <c r="F395" t="inlineStr">
        <is>
          <t>SKÅNE LÄN</t>
        </is>
      </c>
      <c r="G395" t="inlineStr">
        <is>
          <t>OSBY</t>
        </is>
      </c>
      <c r="H395" t="inlineStr">
        <is>
          <t>Kyrkan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25579-2024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45463</v>
      </c>
      <c r="E396" s="1" t="n">
        <v>46319</v>
      </c>
      <c r="F396" t="inlineStr">
        <is>
          <t>SKÅNE LÄN</t>
        </is>
      </c>
      <c r="G396" t="inlineStr">
        <is>
          <t>OSBY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46319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46319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46319</v>
      </c>
      <c r="F399" t="inlineStr">
        <is>
          <t>SKÅNE LÄN</t>
        </is>
      </c>
      <c r="G399" t="inlineStr">
        <is>
          <t>OSBY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46319</v>
      </c>
      <c r="F400" t="inlineStr">
        <is>
          <t>SKÅNE LÄN</t>
        </is>
      </c>
      <c r="G400" t="inlineStr">
        <is>
          <t>OSBY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46319</v>
      </c>
      <c r="F401" t="inlineStr">
        <is>
          <t>SKÅNE LÄN</t>
        </is>
      </c>
      <c r="G401" t="inlineStr">
        <is>
          <t>OSBY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45369</v>
      </c>
      <c r="E402" s="1" t="n">
        <v>46319</v>
      </c>
      <c r="F402" t="inlineStr">
        <is>
          <t>SKÅNE LÄN</t>
        </is>
      </c>
      <c r="G402" t="inlineStr">
        <is>
          <t>OSBY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46319</v>
      </c>
      <c r="F403" t="inlineStr">
        <is>
          <t>SKÅNE LÄN</t>
        </is>
      </c>
      <c r="G403" t="inlineStr">
        <is>
          <t>OSBY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58747-2024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45635</v>
      </c>
      <c r="E404" s="1" t="n">
        <v>46319</v>
      </c>
      <c r="F404" t="inlineStr">
        <is>
          <t>SKÅNE LÄN</t>
        </is>
      </c>
      <c r="G404" t="inlineStr">
        <is>
          <t>OSBY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44602</v>
      </c>
      <c r="E405" s="1" t="n">
        <v>46319</v>
      </c>
      <c r="F405" t="inlineStr">
        <is>
          <t>SKÅNE LÄN</t>
        </is>
      </c>
      <c r="G405" t="inlineStr">
        <is>
          <t>OSBY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51861-2024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45607</v>
      </c>
      <c r="E406" s="1" t="n">
        <v>46319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29433-2024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46319</v>
      </c>
      <c r="F407" t="inlineStr">
        <is>
          <t>SKÅNE LÄN</t>
        </is>
      </c>
      <c r="G407" t="inlineStr">
        <is>
          <t>OSBY</t>
        </is>
      </c>
      <c r="H407" t="inlineStr">
        <is>
          <t>Kommuner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44997</v>
      </c>
      <c r="E408" s="1" t="n">
        <v>46319</v>
      </c>
      <c r="F408" t="inlineStr">
        <is>
          <t>SKÅNE LÄN</t>
        </is>
      </c>
      <c r="G408" t="inlineStr">
        <is>
          <t>OSBY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45468</v>
      </c>
      <c r="E409" s="1" t="n">
        <v>46319</v>
      </c>
      <c r="F409" t="inlineStr">
        <is>
          <t>SKÅNE LÄN</t>
        </is>
      </c>
      <c r="G409" t="inlineStr">
        <is>
          <t>OSBY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45642</v>
      </c>
      <c r="E410" s="1" t="n">
        <v>46319</v>
      </c>
      <c r="F410" t="inlineStr">
        <is>
          <t>SKÅNE LÄN</t>
        </is>
      </c>
      <c r="G410" t="inlineStr">
        <is>
          <t>OSBY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44801</v>
      </c>
      <c r="E411" s="1" t="n">
        <v>46319</v>
      </c>
      <c r="F411" t="inlineStr">
        <is>
          <t>SKÅNE LÄN</t>
        </is>
      </c>
      <c r="G411" t="inlineStr">
        <is>
          <t>OSBY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46319</v>
      </c>
      <c r="F412" t="inlineStr">
        <is>
          <t>SKÅNE LÄN</t>
        </is>
      </c>
      <c r="G412" t="inlineStr">
        <is>
          <t>OSBY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46319</v>
      </c>
      <c r="F413" t="inlineStr">
        <is>
          <t>SKÅNE LÄN</t>
        </is>
      </c>
      <c r="G413" t="inlineStr">
        <is>
          <t>OSBY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46319</v>
      </c>
      <c r="F414" t="inlineStr">
        <is>
          <t>SKÅNE LÄN</t>
        </is>
      </c>
      <c r="G414" t="inlineStr">
        <is>
          <t>OSBY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61414-2024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45646</v>
      </c>
      <c r="E415" s="1" t="n">
        <v>46319</v>
      </c>
      <c r="F415" t="inlineStr">
        <is>
          <t>SKÅNE LÄN</t>
        </is>
      </c>
      <c r="G415" t="inlineStr">
        <is>
          <t>OSBY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44757</v>
      </c>
      <c r="E416" s="1" t="n">
        <v>46319</v>
      </c>
      <c r="F416" t="inlineStr">
        <is>
          <t>SKÅNE LÄN</t>
        </is>
      </c>
      <c r="G416" t="inlineStr">
        <is>
          <t>OSBY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51632-2024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45605</v>
      </c>
      <c r="E417" s="1" t="n">
        <v>46319</v>
      </c>
      <c r="F417" t="inlineStr">
        <is>
          <t>SKÅNE LÄN</t>
        </is>
      </c>
      <c r="G417" t="inlineStr">
        <is>
          <t>OSBY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45605</v>
      </c>
      <c r="E418" s="1" t="n">
        <v>46319</v>
      </c>
      <c r="F418" t="inlineStr">
        <is>
          <t>SKÅNE LÄN</t>
        </is>
      </c>
      <c r="G418" t="inlineStr">
        <is>
          <t>OSBY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46319</v>
      </c>
      <c r="F419" t="inlineStr">
        <is>
          <t>SKÅNE LÄN</t>
        </is>
      </c>
      <c r="G419" t="inlineStr">
        <is>
          <t>OSBY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45630</v>
      </c>
      <c r="E420" s="1" t="n">
        <v>46319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63077-2021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44505</v>
      </c>
      <c r="E421" s="1" t="n">
        <v>46319</v>
      </c>
      <c r="F421" t="inlineStr">
        <is>
          <t>SKÅNE LÄN</t>
        </is>
      </c>
      <c r="G421" t="inlineStr">
        <is>
          <t>OSBY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61979-2024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46319</v>
      </c>
      <c r="F422" t="inlineStr">
        <is>
          <t>SKÅNE LÄN</t>
        </is>
      </c>
      <c r="G422" t="inlineStr">
        <is>
          <t>OSBY</t>
        </is>
      </c>
      <c r="H422" t="inlineStr">
        <is>
          <t>Kyrkan</t>
        </is>
      </c>
      <c r="I422" t="n">
        <v>11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46319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45688</v>
      </c>
      <c r="E424" s="1" t="n">
        <v>46319</v>
      </c>
      <c r="F424" t="inlineStr">
        <is>
          <t>SKÅNE LÄN</t>
        </is>
      </c>
      <c r="G424" t="inlineStr">
        <is>
          <t>OSBY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46319</v>
      </c>
      <c r="F425" t="inlineStr">
        <is>
          <t>SKÅNE LÄN</t>
        </is>
      </c>
      <c r="G425" t="inlineStr">
        <is>
          <t>OSBY</t>
        </is>
      </c>
      <c r="H425" t="inlineStr">
        <is>
          <t>Kommuner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45677</v>
      </c>
      <c r="E426" s="1" t="n">
        <v>46319</v>
      </c>
      <c r="F426" t="inlineStr">
        <is>
          <t>SKÅNE LÄN</t>
        </is>
      </c>
      <c r="G426" t="inlineStr">
        <is>
          <t>OSBY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44832</v>
      </c>
      <c r="E427" s="1" t="n">
        <v>46319</v>
      </c>
      <c r="F427" t="inlineStr">
        <is>
          <t>SKÅNE LÄN</t>
        </is>
      </c>
      <c r="G427" t="inlineStr">
        <is>
          <t>OSBY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46319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13754-2025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46319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44746</v>
      </c>
      <c r="E430" s="1" t="n">
        <v>46319</v>
      </c>
      <c r="F430" t="inlineStr">
        <is>
          <t>SKÅNE LÄN</t>
        </is>
      </c>
      <c r="G430" t="inlineStr">
        <is>
          <t>OSBY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45685</v>
      </c>
      <c r="E431" s="1" t="n">
        <v>46319</v>
      </c>
      <c r="F431" t="inlineStr">
        <is>
          <t>SKÅNE LÄN</t>
        </is>
      </c>
      <c r="G431" t="inlineStr">
        <is>
          <t>OSBY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45377</v>
      </c>
      <c r="E432" s="1" t="n">
        <v>46319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45730</v>
      </c>
      <c r="E433" s="1" t="n">
        <v>46319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45503</v>
      </c>
      <c r="E434" s="1" t="n">
        <v>46319</v>
      </c>
      <c r="F434" t="inlineStr">
        <is>
          <t>SKÅNE LÄN</t>
        </is>
      </c>
      <c r="G434" t="inlineStr">
        <is>
          <t>OSBY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45255</v>
      </c>
      <c r="E435" s="1" t="n">
        <v>46319</v>
      </c>
      <c r="F435" t="inlineStr">
        <is>
          <t>SKÅNE LÄN</t>
        </is>
      </c>
      <c r="G435" t="inlineStr">
        <is>
          <t>OSBY</t>
        </is>
      </c>
      <c r="I435" t="n">
        <v>15.6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45728</v>
      </c>
      <c r="E436" s="1" t="n">
        <v>46319</v>
      </c>
      <c r="F436" t="inlineStr">
        <is>
          <t>SKÅNE LÄN</t>
        </is>
      </c>
      <c r="G436" t="inlineStr">
        <is>
          <t>OSBY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46319</v>
      </c>
      <c r="F437" t="inlineStr">
        <is>
          <t>SKÅNE LÄN</t>
        </is>
      </c>
      <c r="G437" t="inlineStr">
        <is>
          <t>OSBY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46319</v>
      </c>
      <c r="F438" t="inlineStr">
        <is>
          <t>SKÅNE LÄN</t>
        </is>
      </c>
      <c r="G438" t="inlineStr">
        <is>
          <t>OSBY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44994</v>
      </c>
      <c r="E439" s="1" t="n">
        <v>46319</v>
      </c>
      <c r="F439" t="inlineStr">
        <is>
          <t>SKÅNE LÄN</t>
        </is>
      </c>
      <c r="G439" t="inlineStr">
        <is>
          <t>OSBY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46319</v>
      </c>
      <c r="F440" t="inlineStr">
        <is>
          <t>SKÅNE LÄN</t>
        </is>
      </c>
      <c r="G440" t="inlineStr">
        <is>
          <t>OSBY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46319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43931-2022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44838</v>
      </c>
      <c r="E442" s="1" t="n">
        <v>46319</v>
      </c>
      <c r="F442" t="inlineStr">
        <is>
          <t>SKÅNE LÄN</t>
        </is>
      </c>
      <c r="G442" t="inlineStr">
        <is>
          <t>OSBY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45195</v>
      </c>
      <c r="E443" s="1" t="n">
        <v>46319</v>
      </c>
      <c r="F443" t="inlineStr">
        <is>
          <t>SKÅNE LÄN</t>
        </is>
      </c>
      <c r="G443" t="inlineStr">
        <is>
          <t>OSBY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45195</v>
      </c>
      <c r="E444" s="1" t="n">
        <v>46319</v>
      </c>
      <c r="F444" t="inlineStr">
        <is>
          <t>SKÅNE LÄN</t>
        </is>
      </c>
      <c r="G444" t="inlineStr">
        <is>
          <t>OSBY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44965</v>
      </c>
      <c r="E445" s="1" t="n">
        <v>46319</v>
      </c>
      <c r="F445" t="inlineStr">
        <is>
          <t>SKÅNE LÄN</t>
        </is>
      </c>
      <c r="G445" t="inlineStr">
        <is>
          <t>OSBY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33816-2022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44790</v>
      </c>
      <c r="E446" s="1" t="n">
        <v>46319</v>
      </c>
      <c r="F446" t="inlineStr">
        <is>
          <t>SKÅNE LÄN</t>
        </is>
      </c>
      <c r="G446" t="inlineStr">
        <is>
          <t>OSBY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46319</v>
      </c>
      <c r="F447" t="inlineStr">
        <is>
          <t>SKÅNE LÄN</t>
        </is>
      </c>
      <c r="G447" t="inlineStr">
        <is>
          <t>OSBY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61520-2022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44910</v>
      </c>
      <c r="E448" s="1" t="n">
        <v>46319</v>
      </c>
      <c r="F448" t="inlineStr">
        <is>
          <t>SKÅNE LÄN</t>
        </is>
      </c>
      <c r="G448" t="inlineStr">
        <is>
          <t>OSBY</t>
        </is>
      </c>
      <c r="H448" t="inlineStr">
        <is>
          <t>Kyrkan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45255</v>
      </c>
      <c r="E449" s="1" t="n">
        <v>46319</v>
      </c>
      <c r="F449" t="inlineStr">
        <is>
          <t>SKÅNE LÄN</t>
        </is>
      </c>
      <c r="G449" t="inlineStr">
        <is>
          <t>OSBY</t>
        </is>
      </c>
      <c r="I449" t="n">
        <v>8.300000000000001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45259</v>
      </c>
      <c r="E450" s="1" t="n">
        <v>46319</v>
      </c>
      <c r="F450" t="inlineStr">
        <is>
          <t>SKÅNE LÄN</t>
        </is>
      </c>
      <c r="G450" t="inlineStr">
        <is>
          <t>OSBY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46319</v>
      </c>
      <c r="F451" t="inlineStr">
        <is>
          <t>SKÅNE LÄN</t>
        </is>
      </c>
      <c r="G451" t="inlineStr">
        <is>
          <t>OSBY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46319</v>
      </c>
      <c r="F452" t="inlineStr">
        <is>
          <t>SKÅNE LÄN</t>
        </is>
      </c>
      <c r="G452" t="inlineStr">
        <is>
          <t>OSBY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46319</v>
      </c>
      <c r="F453" t="inlineStr">
        <is>
          <t>SKÅNE LÄN</t>
        </is>
      </c>
      <c r="G453" t="inlineStr">
        <is>
          <t>OSBY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46319</v>
      </c>
      <c r="F454" t="inlineStr">
        <is>
          <t>SKÅNE LÄN</t>
        </is>
      </c>
      <c r="G454" t="inlineStr">
        <is>
          <t>OSBY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58638-2022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46319</v>
      </c>
      <c r="F455" t="inlineStr">
        <is>
          <t>SKÅNE LÄN</t>
        </is>
      </c>
      <c r="G455" t="inlineStr">
        <is>
          <t>OSBY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46319</v>
      </c>
      <c r="F456" t="inlineStr">
        <is>
          <t>SKÅNE LÄN</t>
        </is>
      </c>
      <c r="G456" t="inlineStr">
        <is>
          <t>OSBY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44895</v>
      </c>
      <c r="E457" s="1" t="n">
        <v>46319</v>
      </c>
      <c r="F457" t="inlineStr">
        <is>
          <t>SKÅNE LÄN</t>
        </is>
      </c>
      <c r="G457" t="inlineStr">
        <is>
          <t>OSBY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41547-2022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44826</v>
      </c>
      <c r="E458" s="1" t="n">
        <v>46319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45360</v>
      </c>
      <c r="E459" s="1" t="n">
        <v>46319</v>
      </c>
      <c r="F459" t="inlineStr">
        <is>
          <t>SKÅNE LÄN</t>
        </is>
      </c>
      <c r="G459" t="inlineStr">
        <is>
          <t>OSBY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45723</v>
      </c>
      <c r="E460" s="1" t="n">
        <v>46319</v>
      </c>
      <c r="F460" t="inlineStr">
        <is>
          <t>SKÅNE LÄN</t>
        </is>
      </c>
      <c r="G460" t="inlineStr">
        <is>
          <t>OSBY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46319</v>
      </c>
      <c r="F461" t="inlineStr">
        <is>
          <t>SKÅNE LÄN</t>
        </is>
      </c>
      <c r="G461" t="inlineStr">
        <is>
          <t>OSBY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52857-2022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44872</v>
      </c>
      <c r="E462" s="1" t="n">
        <v>46319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44921</v>
      </c>
      <c r="E463" s="1" t="n">
        <v>46319</v>
      </c>
      <c r="F463" t="inlineStr">
        <is>
          <t>SKÅNE LÄN</t>
        </is>
      </c>
      <c r="G463" t="inlineStr">
        <is>
          <t>OSBY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46319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55389-2023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45238</v>
      </c>
      <c r="E465" s="1" t="n">
        <v>46319</v>
      </c>
      <c r="F465" t="inlineStr">
        <is>
          <t>SKÅNE LÄN</t>
        </is>
      </c>
      <c r="G465" t="inlineStr">
        <is>
          <t>OSBY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56166-2023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46319</v>
      </c>
      <c r="F466" t="inlineStr">
        <is>
          <t>SKÅNE LÄN</t>
        </is>
      </c>
      <c r="G466" t="inlineStr">
        <is>
          <t>OSBY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45015</v>
      </c>
      <c r="E467" s="1" t="n">
        <v>46319</v>
      </c>
      <c r="F467" t="inlineStr">
        <is>
          <t>SKÅNE LÄN</t>
        </is>
      </c>
      <c r="G467" t="inlineStr">
        <is>
          <t>OSBY</t>
        </is>
      </c>
      <c r="H467" t="inlineStr">
        <is>
          <t>Naturvårdsverket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45082</v>
      </c>
      <c r="E468" s="1" t="n">
        <v>46319</v>
      </c>
      <c r="F468" t="inlineStr">
        <is>
          <t>SKÅNE LÄN</t>
        </is>
      </c>
      <c r="G468" t="inlineStr">
        <is>
          <t>OSBY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46319</v>
      </c>
      <c r="F469" t="inlineStr">
        <is>
          <t>SKÅNE LÄN</t>
        </is>
      </c>
      <c r="G469" t="inlineStr">
        <is>
          <t>OSBY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45110</v>
      </c>
      <c r="E470" s="1" t="n">
        <v>46319</v>
      </c>
      <c r="F470" t="inlineStr">
        <is>
          <t>SKÅNE LÄN</t>
        </is>
      </c>
      <c r="G470" t="inlineStr">
        <is>
          <t>OSBY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45002</v>
      </c>
      <c r="E471" s="1" t="n">
        <v>46319</v>
      </c>
      <c r="F471" t="inlineStr">
        <is>
          <t>SKÅNE LÄN</t>
        </is>
      </c>
      <c r="G471" t="inlineStr">
        <is>
          <t>OSBY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45404</v>
      </c>
      <c r="E472" s="1" t="n">
        <v>46319</v>
      </c>
      <c r="F472" t="inlineStr">
        <is>
          <t>SKÅNE LÄN</t>
        </is>
      </c>
      <c r="G472" t="inlineStr">
        <is>
          <t>OSBY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45589</v>
      </c>
      <c r="E473" s="1" t="n">
        <v>46319</v>
      </c>
      <c r="F473" t="inlineStr">
        <is>
          <t>SKÅNE LÄN</t>
        </is>
      </c>
      <c r="G473" t="inlineStr">
        <is>
          <t>OSBY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46319</v>
      </c>
      <c r="F474" t="inlineStr">
        <is>
          <t>SKÅNE LÄN</t>
        </is>
      </c>
      <c r="G474" t="inlineStr">
        <is>
          <t>OSBY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46319</v>
      </c>
      <c r="F475" t="inlineStr">
        <is>
          <t>SKÅNE LÄN</t>
        </is>
      </c>
      <c r="G475" t="inlineStr">
        <is>
          <t>OSBY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74016-2021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44557</v>
      </c>
      <c r="E476" s="1" t="n">
        <v>46319</v>
      </c>
      <c r="F476" t="inlineStr">
        <is>
          <t>SKÅNE LÄN</t>
        </is>
      </c>
      <c r="G476" t="inlineStr">
        <is>
          <t>OSBY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64469-2021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44511</v>
      </c>
      <c r="E477" s="1" t="n">
        <v>46319</v>
      </c>
      <c r="F477" t="inlineStr">
        <is>
          <t>SKÅNE LÄN</t>
        </is>
      </c>
      <c r="G477" t="inlineStr">
        <is>
          <t>OSBY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68592-2021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44529</v>
      </c>
      <c r="E478" s="1" t="n">
        <v>46319</v>
      </c>
      <c r="F478" t="inlineStr">
        <is>
          <t>SKÅNE LÄN</t>
        </is>
      </c>
      <c r="G478" t="inlineStr">
        <is>
          <t>OSBY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46319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46319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45063</v>
      </c>
      <c r="E481" s="1" t="n">
        <v>46319</v>
      </c>
      <c r="F481" t="inlineStr">
        <is>
          <t>SKÅNE LÄN</t>
        </is>
      </c>
      <c r="G481" t="inlineStr">
        <is>
          <t>OSBY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44966</v>
      </c>
      <c r="E482" s="1" t="n">
        <v>46319</v>
      </c>
      <c r="F482" t="inlineStr">
        <is>
          <t>SKÅNE LÄN</t>
        </is>
      </c>
      <c r="G482" t="inlineStr">
        <is>
          <t>OSBY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50880-2022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44867</v>
      </c>
      <c r="E483" s="1" t="n">
        <v>46319</v>
      </c>
      <c r="F483" t="inlineStr">
        <is>
          <t>SKÅNE LÄN</t>
        </is>
      </c>
      <c r="G483" t="inlineStr">
        <is>
          <t>OSBY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45141</v>
      </c>
      <c r="E484" s="1" t="n">
        <v>46319</v>
      </c>
      <c r="F484" t="inlineStr">
        <is>
          <t>SKÅNE LÄN</t>
        </is>
      </c>
      <c r="G484" t="inlineStr">
        <is>
          <t>OSBY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46319</v>
      </c>
      <c r="F485" t="inlineStr">
        <is>
          <t>SKÅNE LÄN</t>
        </is>
      </c>
      <c r="G485" t="inlineStr">
        <is>
          <t>OSBY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45656</v>
      </c>
      <c r="E486" s="1" t="n">
        <v>46319</v>
      </c>
      <c r="F486" t="inlineStr">
        <is>
          <t>SKÅNE LÄN</t>
        </is>
      </c>
      <c r="G486" t="inlineStr">
        <is>
          <t>OSBY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46319</v>
      </c>
      <c r="F487" t="inlineStr">
        <is>
          <t>SKÅNE LÄN</t>
        </is>
      </c>
      <c r="G487" t="inlineStr">
        <is>
          <t>OSBY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45643</v>
      </c>
      <c r="E488" s="1" t="n">
        <v>46319</v>
      </c>
      <c r="F488" t="inlineStr">
        <is>
          <t>SKÅNE LÄN</t>
        </is>
      </c>
      <c r="G488" t="inlineStr">
        <is>
          <t>OSBY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46319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46319</v>
      </c>
      <c r="F490" t="inlineStr">
        <is>
          <t>SKÅNE LÄN</t>
        </is>
      </c>
      <c r="G490" t="inlineStr">
        <is>
          <t>OSBY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45471</v>
      </c>
      <c r="E491" s="1" t="n">
        <v>46319</v>
      </c>
      <c r="F491" t="inlineStr">
        <is>
          <t>SKÅNE LÄN</t>
        </is>
      </c>
      <c r="G491" t="inlineStr">
        <is>
          <t>OSBY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44585</v>
      </c>
      <c r="E492" s="1" t="n">
        <v>46319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45534</v>
      </c>
      <c r="E493" s="1" t="n">
        <v>46319</v>
      </c>
      <c r="F493" t="inlineStr">
        <is>
          <t>SKÅNE LÄN</t>
        </is>
      </c>
      <c r="G493" t="inlineStr">
        <is>
          <t>OSBY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45534</v>
      </c>
      <c r="E494" s="1" t="n">
        <v>46319</v>
      </c>
      <c r="F494" t="inlineStr">
        <is>
          <t>SKÅNE LÄN</t>
        </is>
      </c>
      <c r="G494" t="inlineStr">
        <is>
          <t>OSBY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45217</v>
      </c>
      <c r="E495" s="1" t="n">
        <v>46319</v>
      </c>
      <c r="F495" t="inlineStr">
        <is>
          <t>SKÅNE LÄN</t>
        </is>
      </c>
      <c r="G495" t="inlineStr">
        <is>
          <t>OSBY</t>
        </is>
      </c>
      <c r="H495" t="inlineStr">
        <is>
          <t>Kommuner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45035</v>
      </c>
      <c r="E496" s="1" t="n">
        <v>46319</v>
      </c>
      <c r="F496" t="inlineStr">
        <is>
          <t>SKÅNE LÄN</t>
        </is>
      </c>
      <c r="G496" t="inlineStr">
        <is>
          <t>OSBY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44832</v>
      </c>
      <c r="E497" s="1" t="n">
        <v>46319</v>
      </c>
      <c r="F497" t="inlineStr">
        <is>
          <t>SKÅNE LÄN</t>
        </is>
      </c>
      <c r="G497" t="inlineStr">
        <is>
          <t>OSBY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44644</v>
      </c>
      <c r="E498" s="1" t="n">
        <v>46319</v>
      </c>
      <c r="F498" t="inlineStr">
        <is>
          <t>SKÅNE LÄN</t>
        </is>
      </c>
      <c r="G498" t="inlineStr">
        <is>
          <t>OSBY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46319</v>
      </c>
      <c r="F499" t="inlineStr">
        <is>
          <t>SKÅNE LÄN</t>
        </is>
      </c>
      <c r="G499" t="inlineStr">
        <is>
          <t>OSBY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44658</v>
      </c>
      <c r="E500" s="1" t="n">
        <v>46319</v>
      </c>
      <c r="F500" t="inlineStr">
        <is>
          <t>SKÅNE LÄN</t>
        </is>
      </c>
      <c r="G500" t="inlineStr">
        <is>
          <t>OSBY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46246-2023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46319</v>
      </c>
      <c r="F501" t="inlineStr">
        <is>
          <t>SKÅNE LÄN</t>
        </is>
      </c>
      <c r="G501" t="inlineStr">
        <is>
          <t>OSBY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44585</v>
      </c>
      <c r="E502" s="1" t="n">
        <v>46319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46319</v>
      </c>
      <c r="F503" t="inlineStr">
        <is>
          <t>SKÅNE LÄN</t>
        </is>
      </c>
      <c r="G503" t="inlineStr">
        <is>
          <t>OSBY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46319</v>
      </c>
      <c r="F504" t="inlineStr">
        <is>
          <t>SKÅNE LÄN</t>
        </is>
      </c>
      <c r="G504" t="inlineStr">
        <is>
          <t>OSBY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45695</v>
      </c>
      <c r="E505" s="1" t="n">
        <v>46319</v>
      </c>
      <c r="F505" t="inlineStr">
        <is>
          <t>SKÅNE LÄN</t>
        </is>
      </c>
      <c r="G505" t="inlineStr">
        <is>
          <t>OSBY</t>
        </is>
      </c>
      <c r="I505" t="n">
        <v>19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45609</v>
      </c>
      <c r="E506" s="1" t="n">
        <v>46319</v>
      </c>
      <c r="F506" t="inlineStr">
        <is>
          <t>SKÅNE LÄN</t>
        </is>
      </c>
      <c r="G506" t="inlineStr">
        <is>
          <t>OSBY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46319</v>
      </c>
      <c r="F507" t="inlineStr">
        <is>
          <t>SKÅNE LÄN</t>
        </is>
      </c>
      <c r="G507" t="inlineStr">
        <is>
          <t>OSBY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15797-2022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44663</v>
      </c>
      <c r="E508" s="1" t="n">
        <v>46319</v>
      </c>
      <c r="F508" t="inlineStr">
        <is>
          <t>SKÅNE LÄN</t>
        </is>
      </c>
      <c r="G508" t="inlineStr">
        <is>
          <t>OSBY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45666</v>
      </c>
      <c r="E509" s="1" t="n">
        <v>46319</v>
      </c>
      <c r="F509" t="inlineStr">
        <is>
          <t>SKÅNE LÄN</t>
        </is>
      </c>
      <c r="G509" t="inlineStr">
        <is>
          <t>OSBY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46319</v>
      </c>
      <c r="F510" t="inlineStr">
        <is>
          <t>SKÅNE LÄN</t>
        </is>
      </c>
      <c r="G510" t="inlineStr">
        <is>
          <t>OSBY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46319</v>
      </c>
      <c r="F511" t="inlineStr">
        <is>
          <t>SKÅNE LÄN</t>
        </is>
      </c>
      <c r="G511" t="inlineStr">
        <is>
          <t>OSBY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46319</v>
      </c>
      <c r="F512" t="inlineStr">
        <is>
          <t>SKÅNE LÄN</t>
        </is>
      </c>
      <c r="G512" t="inlineStr">
        <is>
          <t>OSBY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45209</v>
      </c>
      <c r="E513" s="1" t="n">
        <v>46319</v>
      </c>
      <c r="F513" t="inlineStr">
        <is>
          <t>SKÅNE LÄN</t>
        </is>
      </c>
      <c r="G513" t="inlineStr">
        <is>
          <t>OSBY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31758-2022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44776</v>
      </c>
      <c r="E514" s="1" t="n">
        <v>46319</v>
      </c>
      <c r="F514" t="inlineStr">
        <is>
          <t>SKÅNE LÄN</t>
        </is>
      </c>
      <c r="G514" t="inlineStr">
        <is>
          <t>OSBY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46319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45422</v>
      </c>
      <c r="E516" s="1" t="n">
        <v>46319</v>
      </c>
      <c r="F516" t="inlineStr">
        <is>
          <t>SKÅNE LÄN</t>
        </is>
      </c>
      <c r="G516" t="inlineStr">
        <is>
          <t>OSBY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45631</v>
      </c>
      <c r="E517" s="1" t="n">
        <v>46319</v>
      </c>
      <c r="F517" t="inlineStr">
        <is>
          <t>SKÅNE LÄN</t>
        </is>
      </c>
      <c r="G517" t="inlineStr">
        <is>
          <t>OSBY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45110</v>
      </c>
      <c r="E518" s="1" t="n">
        <v>46319</v>
      </c>
      <c r="F518" t="inlineStr">
        <is>
          <t>SKÅNE LÄN</t>
        </is>
      </c>
      <c r="G518" t="inlineStr">
        <is>
          <t>OSBY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46319</v>
      </c>
      <c r="F519" t="inlineStr">
        <is>
          <t>SKÅNE LÄN</t>
        </is>
      </c>
      <c r="G519" t="inlineStr">
        <is>
          <t>OSBY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46431-2023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45197</v>
      </c>
      <c r="E520" s="1" t="n">
        <v>46319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46319</v>
      </c>
      <c r="F521" t="inlineStr">
        <is>
          <t>SKÅNE LÄN</t>
        </is>
      </c>
      <c r="G521" t="inlineStr">
        <is>
          <t>OSBY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45231</v>
      </c>
      <c r="E522" s="1" t="n">
        <v>46319</v>
      </c>
      <c r="F522" t="inlineStr">
        <is>
          <t>SKÅNE LÄN</t>
        </is>
      </c>
      <c r="G522" t="inlineStr">
        <is>
          <t>OSBY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33822-2022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44790</v>
      </c>
      <c r="E523" s="1" t="n">
        <v>46319</v>
      </c>
      <c r="F523" t="inlineStr">
        <is>
          <t>SKÅNE LÄN</t>
        </is>
      </c>
      <c r="G523" t="inlineStr">
        <is>
          <t>OSBY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45314</v>
      </c>
      <c r="E524" s="1" t="n">
        <v>46319</v>
      </c>
      <c r="F524" t="inlineStr">
        <is>
          <t>SKÅNE LÄN</t>
        </is>
      </c>
      <c r="G524" t="inlineStr">
        <is>
          <t>OSBY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35986-2022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44802</v>
      </c>
      <c r="E525" s="1" t="n">
        <v>46319</v>
      </c>
      <c r="F525" t="inlineStr">
        <is>
          <t>SKÅNE LÄN</t>
        </is>
      </c>
      <c r="G525" t="inlineStr">
        <is>
          <t>OSBY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45265</v>
      </c>
      <c r="E526" s="1" t="n">
        <v>46319</v>
      </c>
      <c r="F526" t="inlineStr">
        <is>
          <t>SKÅNE LÄN</t>
        </is>
      </c>
      <c r="G526" t="inlineStr">
        <is>
          <t>OSBY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55294-2023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45237</v>
      </c>
      <c r="E527" s="1" t="n">
        <v>46319</v>
      </c>
      <c r="F527" t="inlineStr">
        <is>
          <t>SKÅNE LÄN</t>
        </is>
      </c>
      <c r="G527" t="inlineStr">
        <is>
          <t>OSBY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50380-2023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45216</v>
      </c>
      <c r="E528" s="1" t="n">
        <v>46319</v>
      </c>
      <c r="F528" t="inlineStr">
        <is>
          <t>SKÅNE LÄN</t>
        </is>
      </c>
      <c r="G528" t="inlineStr">
        <is>
          <t>OSBY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46319</v>
      </c>
      <c r="F529" t="inlineStr">
        <is>
          <t>SKÅNE LÄN</t>
        </is>
      </c>
      <c r="G529" t="inlineStr">
        <is>
          <t>OSBY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52089-2022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44873</v>
      </c>
      <c r="E530" s="1" t="n">
        <v>46319</v>
      </c>
      <c r="F530" t="inlineStr">
        <is>
          <t>SKÅNE LÄN</t>
        </is>
      </c>
      <c r="G530" t="inlineStr">
        <is>
          <t>OSBY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12680-2025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45733</v>
      </c>
      <c r="E531" s="1" t="n">
        <v>46319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44603</v>
      </c>
      <c r="E532" s="1" t="n">
        <v>46319</v>
      </c>
      <c r="F532" t="inlineStr">
        <is>
          <t>SKÅNE LÄN</t>
        </is>
      </c>
      <c r="G532" t="inlineStr">
        <is>
          <t>OSBY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45147</v>
      </c>
      <c r="E533" s="1" t="n">
        <v>46319</v>
      </c>
      <c r="F533" t="inlineStr">
        <is>
          <t>SKÅNE LÄN</t>
        </is>
      </c>
      <c r="G533" t="inlineStr">
        <is>
          <t>OSBY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46319</v>
      </c>
      <c r="F534" t="inlineStr">
        <is>
          <t>SKÅNE LÄN</t>
        </is>
      </c>
      <c r="G534" t="inlineStr">
        <is>
          <t>OSBY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9670-2023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44978</v>
      </c>
      <c r="E535" s="1" t="n">
        <v>46319</v>
      </c>
      <c r="F535" t="inlineStr">
        <is>
          <t>SKÅNE LÄN</t>
        </is>
      </c>
      <c r="G535" t="inlineStr">
        <is>
          <t>OSBY</t>
        </is>
      </c>
      <c r="H535" t="inlineStr">
        <is>
          <t>Naturvårdsverket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45652</v>
      </c>
      <c r="E536" s="1" t="n">
        <v>46319</v>
      </c>
      <c r="F536" t="inlineStr">
        <is>
          <t>SKÅNE LÄN</t>
        </is>
      </c>
      <c r="G536" t="inlineStr">
        <is>
          <t>OSBY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60600-2022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44911</v>
      </c>
      <c r="E537" s="1" t="n">
        <v>46319</v>
      </c>
      <c r="F537" t="inlineStr">
        <is>
          <t>SKÅNE LÄN</t>
        </is>
      </c>
      <c r="G537" t="inlineStr">
        <is>
          <t>OSBY</t>
        </is>
      </c>
      <c r="I537" t="n">
        <v>15.4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46319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44585</v>
      </c>
      <c r="E539" s="1" t="n">
        <v>46319</v>
      </c>
      <c r="F539" t="inlineStr">
        <is>
          <t>SKÅNE LÄN</t>
        </is>
      </c>
      <c r="G539" t="inlineStr">
        <is>
          <t>OSBY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44580</v>
      </c>
      <c r="E540" s="1" t="n">
        <v>46319</v>
      </c>
      <c r="F540" t="inlineStr">
        <is>
          <t>SKÅNE LÄN</t>
        </is>
      </c>
      <c r="G540" t="inlineStr">
        <is>
          <t>OSBY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45436</v>
      </c>
      <c r="E541" s="1" t="n">
        <v>46319</v>
      </c>
      <c r="F541" t="inlineStr">
        <is>
          <t>SKÅNE LÄN</t>
        </is>
      </c>
      <c r="G541" t="inlineStr">
        <is>
          <t>OSBY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46319</v>
      </c>
      <c r="F542" t="inlineStr">
        <is>
          <t>SKÅNE LÄN</t>
        </is>
      </c>
      <c r="G542" t="inlineStr">
        <is>
          <t>OSBY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44951</v>
      </c>
      <c r="E543" s="1" t="n">
        <v>46319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45414</v>
      </c>
      <c r="E544" s="1" t="n">
        <v>46319</v>
      </c>
      <c r="F544" t="inlineStr">
        <is>
          <t>SKÅNE LÄN</t>
        </is>
      </c>
      <c r="G544" t="inlineStr">
        <is>
          <t>OSBY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44951</v>
      </c>
      <c r="E545" s="1" t="n">
        <v>46319</v>
      </c>
      <c r="F545" t="inlineStr">
        <is>
          <t>SKÅNE LÄN</t>
        </is>
      </c>
      <c r="G545" t="inlineStr">
        <is>
          <t>OSBY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27378-2022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44742</v>
      </c>
      <c r="E546" s="1" t="n">
        <v>46319</v>
      </c>
      <c r="F546" t="inlineStr">
        <is>
          <t>SKÅNE LÄN</t>
        </is>
      </c>
      <c r="G546" t="inlineStr">
        <is>
          <t>OSBY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45650-2022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44845</v>
      </c>
      <c r="E547" s="1" t="n">
        <v>46319</v>
      </c>
      <c r="F547" t="inlineStr">
        <is>
          <t>SKÅNE LÄN</t>
        </is>
      </c>
      <c r="G547" t="inlineStr">
        <is>
          <t>OSBY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46319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46319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46319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46319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46319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46319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46319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46319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46319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46319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46319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46319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46319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46319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46319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46319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46319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46319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46319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46319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2418-2023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45124</v>
      </c>
      <c r="E568" s="1" t="n">
        <v>46319</v>
      </c>
      <c r="F568" t="inlineStr">
        <is>
          <t>SKÅNE LÄN</t>
        </is>
      </c>
      <c r="G568" t="inlineStr">
        <is>
          <t>OSBY</t>
        </is>
      </c>
      <c r="I568" t="n">
        <v>14.4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566-2024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45350</v>
      </c>
      <c r="E569" s="1" t="n">
        <v>46319</v>
      </c>
      <c r="F569" t="inlineStr">
        <is>
          <t>SKÅNE LÄN</t>
        </is>
      </c>
      <c r="G569" t="inlineStr">
        <is>
          <t>OSBY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798-2024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45370</v>
      </c>
      <c r="E570" s="1" t="n">
        <v>46319</v>
      </c>
      <c r="F570" t="inlineStr">
        <is>
          <t>SKÅNE LÄN</t>
        </is>
      </c>
      <c r="G570" t="inlineStr">
        <is>
          <t>OSBY</t>
        </is>
      </c>
      <c r="I570" t="n">
        <v>14.8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847-2024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45373</v>
      </c>
      <c r="E571" s="1" t="n">
        <v>46319</v>
      </c>
      <c r="F571" t="inlineStr">
        <is>
          <t>SKÅNE LÄN</t>
        </is>
      </c>
      <c r="G571" t="inlineStr">
        <is>
          <t>OSBY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4768-2022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46319</v>
      </c>
      <c r="F572" t="inlineStr">
        <is>
          <t>SKÅNE LÄN</t>
        </is>
      </c>
      <c r="G572" t="inlineStr">
        <is>
          <t>OSBY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976-2023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45005</v>
      </c>
      <c r="E573" s="1" t="n">
        <v>46319</v>
      </c>
      <c r="F573" t="inlineStr">
        <is>
          <t>SKÅNE LÄN</t>
        </is>
      </c>
      <c r="G573" t="inlineStr">
        <is>
          <t>OSBY</t>
        </is>
      </c>
      <c r="I573" t="n">
        <v>42.6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44938</v>
      </c>
      <c r="E574" s="1" t="n">
        <v>46319</v>
      </c>
      <c r="F574" t="inlineStr">
        <is>
          <t>SKÅNE LÄN</t>
        </is>
      </c>
      <c r="G574" t="inlineStr">
        <is>
          <t>OSBY</t>
        </is>
      </c>
      <c r="I574" t="n">
        <v>29.6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3280-2023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45194</v>
      </c>
      <c r="E575" s="1" t="n">
        <v>46319</v>
      </c>
      <c r="F575" t="inlineStr">
        <is>
          <t>SKÅNE LÄN</t>
        </is>
      </c>
      <c r="G575" t="inlineStr">
        <is>
          <t>OSBY</t>
        </is>
      </c>
      <c r="I575" t="n">
        <v>14.8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4864-2022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44805</v>
      </c>
      <c r="E576" s="1" t="n">
        <v>46319</v>
      </c>
      <c r="F576" t="inlineStr">
        <is>
          <t>SKÅNE LÄN</t>
        </is>
      </c>
      <c r="G576" t="inlineStr">
        <is>
          <t>OSBY</t>
        </is>
      </c>
      <c r="I576" t="n">
        <v>22.1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6862-2022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44896</v>
      </c>
      <c r="E577" s="1" t="n">
        <v>46319</v>
      </c>
      <c r="F577" t="inlineStr">
        <is>
          <t>SKÅNE LÄN</t>
        </is>
      </c>
      <c r="G577" t="inlineStr">
        <is>
          <t>OSBY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5175-2024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45652</v>
      </c>
      <c r="E578" s="1" t="n">
        <v>46319</v>
      </c>
      <c r="F578" t="inlineStr">
        <is>
          <t>SKÅNE LÄN</t>
        </is>
      </c>
      <c r="G578" t="inlineStr">
        <is>
          <t>OSBY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884-2025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45735</v>
      </c>
      <c r="E579" s="1" t="n">
        <v>46319</v>
      </c>
      <c r="F579" t="inlineStr">
        <is>
          <t>SKÅNE LÄN</t>
        </is>
      </c>
      <c r="G579" t="inlineStr">
        <is>
          <t>OSBY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910-2025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45737</v>
      </c>
      <c r="E580" s="1" t="n">
        <v>46319</v>
      </c>
      <c r="F580" t="inlineStr">
        <is>
          <t>SKÅNE LÄN</t>
        </is>
      </c>
      <c r="G580" t="inlineStr">
        <is>
          <t>OSBY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2812-2025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46319</v>
      </c>
      <c r="F581" t="inlineStr">
        <is>
          <t>SKÅNE LÄN</t>
        </is>
      </c>
      <c r="G581" t="inlineStr">
        <is>
          <t>OSBY</t>
        </is>
      </c>
      <c r="I581" t="n">
        <v>10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2813-2025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46319</v>
      </c>
      <c r="F582" t="inlineStr">
        <is>
          <t>SKÅNE LÄN</t>
        </is>
      </c>
      <c r="G582" t="inlineStr">
        <is>
          <t>OSBY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3221-2025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45980</v>
      </c>
      <c r="E583" s="1" t="n">
        <v>46319</v>
      </c>
      <c r="F583" t="inlineStr">
        <is>
          <t>SKÅNE LÄN</t>
        </is>
      </c>
      <c r="G583" t="inlineStr">
        <is>
          <t>OSBY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25-2026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46030</v>
      </c>
      <c r="E584" s="1" t="n">
        <v>46319</v>
      </c>
      <c r="F584" t="inlineStr">
        <is>
          <t>SKÅNE LÄN</t>
        </is>
      </c>
      <c r="G584" t="inlineStr">
        <is>
          <t>OSBY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222-2026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46049</v>
      </c>
      <c r="E585" s="1" t="n">
        <v>46319</v>
      </c>
      <c r="F585" t="inlineStr">
        <is>
          <t>SKÅNE LÄN</t>
        </is>
      </c>
      <c r="G585" t="inlineStr">
        <is>
          <t>OSBY</t>
        </is>
      </c>
      <c r="I585" t="n">
        <v>26.8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815-2026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46104</v>
      </c>
      <c r="E586" s="1" t="n">
        <v>46319</v>
      </c>
      <c r="F586" t="inlineStr">
        <is>
          <t>SKÅNE LÄN</t>
        </is>
      </c>
      <c r="G586" t="inlineStr">
        <is>
          <t>OSBY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46319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1126-2026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46319</v>
      </c>
      <c r="F588" t="inlineStr">
        <is>
          <t>SKÅNE LÄN</t>
        </is>
      </c>
      <c r="G588" t="inlineStr">
        <is>
          <t>OSBY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2026-10-24T02:04:23Z</dcterms:created>
  <dcterms:modified xmlns:dcterms="http://purl.org/dc/terms/" xmlns:xsi="http://www.w3.org/2001/XMLSchema-instance" xsi:type="dcterms:W3CDTF">2026-10-24T02:04:24Z</dcterms:modified>
</cp:coreProperties>
</file>