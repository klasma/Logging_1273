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46299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46299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8989-2024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45356</v>
      </c>
      <c r="E16" s="1" t="n">
        <v>46299</v>
      </c>
      <c r="F16" t="inlineStr">
        <is>
          <t>SKÅNE LÄN</t>
        </is>
      </c>
      <c r="G16" t="inlineStr">
        <is>
          <t>OSBY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Kortskaftad parasitspik
Rostfläck</t>
        </is>
      </c>
      <c r="W16">
        <f>HYPERLINK("https://klasma.github.io/Logging_1273/artfynd/A 8989-2024 artfynd.xlsx", "A 8989-2024")</f>
        <v/>
      </c>
      <c r="X16">
        <f>HYPERLINK("https://klasma.github.io/Logging_1273/kartor/A 8989-2024 karta.png", "A 8989-2024")</f>
        <v/>
      </c>
      <c r="Y16">
        <f>HYPERLINK("https://klasma.github.io/Logging_1273/kartor_geotiff/A 8989-2024 georefererad karta.tif", "A 8989-2024")</f>
        <v/>
      </c>
      <c r="AA16">
        <f>HYPERLINK("https://klasma.github.io/Logging_1273/klagomål/A 8989-2024 FSC-klagomål.docx", "A 8989-2024")</f>
        <v/>
      </c>
      <c r="AB16">
        <f>HYPERLINK("https://klasma.github.io/Logging_1273/klagomålsmail/A 8989-2024 FSC-klagomål mail.docx", "A 8989-2024")</f>
        <v/>
      </c>
      <c r="AC16">
        <f>HYPERLINK("https://klasma.github.io/Logging_1273/tillsyn/A 8989-2024 tillsynsbegäran.docx", "A 8989-2024")</f>
        <v/>
      </c>
      <c r="AD16">
        <f>HYPERLINK("https://klasma.github.io/Logging_1273/tillsynsmail/A 8989-2024 tillsynsbegäran mail.docx", "A 8989-2024")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46299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46299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46299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46299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46299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23811-2023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46299</v>
      </c>
      <c r="F22" t="inlineStr">
        <is>
          <t>SKÅNE LÄN</t>
        </is>
      </c>
      <c r="G22" t="inlineStr">
        <is>
          <t>OSBY</t>
        </is>
      </c>
      <c r="I22" t="n">
        <v>1.7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Sjötåtel
Borsttåg</t>
        </is>
      </c>
      <c r="W22">
        <f>HYPERLINK("https://klasma.github.io/Logging_1273/artfynd/A 23811-2023 artfynd.xlsx", "A 23811-2023")</f>
        <v/>
      </c>
      <c r="X22">
        <f>HYPERLINK("https://klasma.github.io/Logging_1273/kartor/A 23811-2023 karta.png", "A 23811-2023")</f>
        <v/>
      </c>
      <c r="Y22">
        <f>HYPERLINK("https://klasma.github.io/Logging_1273/kartor_geotiff/A 23811-2023 georefererad karta.tif", "A 23811-2023")</f>
        <v/>
      </c>
      <c r="AA22">
        <f>HYPERLINK("https://klasma.github.io/Logging_1273/klagomål/A 23811-2023 FSC-klagomål.docx", "A 23811-2023")</f>
        <v/>
      </c>
      <c r="AB22">
        <f>HYPERLINK("https://klasma.github.io/Logging_1273/klagomålsmail/A 23811-2023 FSC-klagomål mail.docx", "A 23811-2023")</f>
        <v/>
      </c>
      <c r="AC22">
        <f>HYPERLINK("https://klasma.github.io/Logging_1273/tillsyn/A 23811-2023 tillsynsbegäran.docx", "A 23811-2023")</f>
        <v/>
      </c>
      <c r="AD22">
        <f>HYPERLINK("https://klasma.github.io/Logging_1273/tillsynsmail/A 23811-2023 tillsynsbegäran mail.docx", "A 23811-2023")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46299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A 51859-2024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45607</v>
      </c>
      <c r="E24" s="1" t="n">
        <v>46299</v>
      </c>
      <c r="F24" t="inlineStr">
        <is>
          <t>SKÅNE LÄN</t>
        </is>
      </c>
      <c r="G24" t="inlineStr">
        <is>
          <t>OSBY</t>
        </is>
      </c>
      <c r="H24" t="inlineStr">
        <is>
          <t>Sveaskog</t>
        </is>
      </c>
      <c r="I24" t="n">
        <v>2.8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Gröngöling</t>
        </is>
      </c>
      <c r="W24">
        <f>HYPERLINK("https://klasma.github.io/Logging_1273/artfynd/A 51859-2024 artfynd.xlsx", "A 51859-2024")</f>
        <v/>
      </c>
      <c r="X24">
        <f>HYPERLINK("https://klasma.github.io/Logging_1273/kartor/A 51859-2024 karta.png", "A 51859-2024")</f>
        <v/>
      </c>
      <c r="Y24">
        <f>HYPERLINK("https://klasma.github.io/Logging_1273/kartor_geotiff/A 51859-2024 georefererad karta.tif", "A 51859-2024")</f>
        <v/>
      </c>
      <c r="AA24">
        <f>HYPERLINK("https://klasma.github.io/Logging_1273/klagomål/A 51859-2024 FSC-klagomål.docx", "A 51859-2024")</f>
        <v/>
      </c>
      <c r="AB24">
        <f>HYPERLINK("https://klasma.github.io/Logging_1273/klagomålsmail/A 51859-2024 FSC-klagomål mail.docx", "A 51859-2024")</f>
        <v/>
      </c>
      <c r="AC24">
        <f>HYPERLINK("https://klasma.github.io/Logging_1273/tillsyn/A 51859-2024 tillsynsbegäran.docx", "A 51859-2024")</f>
        <v/>
      </c>
      <c r="AD24">
        <f>HYPERLINK("https://klasma.github.io/Logging_1273/tillsynsmail/A 51859-2024 tillsynsbegäran mail.docx", "A 51859-2024")</f>
        <v/>
      </c>
      <c r="AE24">
        <f>HYPERLINK("https://klasma.github.io/Logging_1273/fåglar/A 51859-2024 prioriterade fågelarter.docx", "A 51859-2024")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46299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46299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46299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46299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46299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46299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46299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46299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58641-2022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44902</v>
      </c>
      <c r="E33" s="1" t="n">
        <v>46299</v>
      </c>
      <c r="F33" t="inlineStr">
        <is>
          <t>SKÅNE LÄN</t>
        </is>
      </c>
      <c r="G33" t="inlineStr">
        <is>
          <t>OSBY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HYPERLINK("https://klasma.github.io/Logging_1273/artfynd/A 58641-2022 artfynd.xlsx", "A 58641-2022")</f>
        <v/>
      </c>
      <c r="X33">
        <f>HYPERLINK("https://klasma.github.io/Logging_1273/kartor/A 58641-2022 karta.png", "A 58641-2022")</f>
        <v/>
      </c>
      <c r="Y33">
        <f>HYPERLINK("https://klasma.github.io/Logging_1273/kartor_geotiff/A 58641-2022 georefererad karta.tif", "A 58641-2022")</f>
        <v/>
      </c>
      <c r="AA33">
        <f>HYPERLINK("https://klasma.github.io/Logging_1273/klagomål/A 58641-2022 FSC-klagomål.docx", "A 58641-2022")</f>
        <v/>
      </c>
      <c r="AB33">
        <f>HYPERLINK("https://klasma.github.io/Logging_1273/klagomålsmail/A 58641-2022 FSC-klagomål mail.docx", "A 58641-2022")</f>
        <v/>
      </c>
      <c r="AC33">
        <f>HYPERLINK("https://klasma.github.io/Logging_1273/tillsyn/A 58641-2022 tillsynsbegäran.docx", "A 58641-2022")</f>
        <v/>
      </c>
      <c r="AD33">
        <f>HYPERLINK("https://klasma.github.io/Logging_1273/tillsynsmail/A 58641-2022 tillsynsbegäran mail.docx", "A 58641-2022")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46299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42027-2023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45177</v>
      </c>
      <c r="E35" s="1" t="n">
        <v>46299</v>
      </c>
      <c r="F35" t="inlineStr">
        <is>
          <t>SKÅNE LÄN</t>
        </is>
      </c>
      <c r="G35" t="inlineStr">
        <is>
          <t>OSBY</t>
        </is>
      </c>
      <c r="H35" t="inlineStr">
        <is>
          <t>Kommuner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HYPERLINK("https://klasma.github.io/Logging_1273/artfynd/A 42027-2023 artfynd.xlsx", "A 42027-2023")</f>
        <v/>
      </c>
      <c r="X35">
        <f>HYPERLINK("https://klasma.github.io/Logging_1273/kartor/A 42027-2023 karta.png", "A 42027-2023")</f>
        <v/>
      </c>
      <c r="Y35">
        <f>HYPERLINK("https://klasma.github.io/Logging_1273/kartor_geotiff/A 42027-2023 georefererad karta.tif", "A 42027-2023")</f>
        <v/>
      </c>
      <c r="AA35">
        <f>HYPERLINK("https://klasma.github.io/Logging_1273/klagomål/A 42027-2023 FSC-klagomål.docx", "A 42027-2023")</f>
        <v/>
      </c>
      <c r="AB35">
        <f>HYPERLINK("https://klasma.github.io/Logging_1273/klagomålsmail/A 42027-2023 FSC-klagomål mail.docx", "A 42027-2023")</f>
        <v/>
      </c>
      <c r="AC35">
        <f>HYPERLINK("https://klasma.github.io/Logging_1273/tillsyn/A 42027-2023 tillsynsbegäran.docx", "A 42027-2023")</f>
        <v/>
      </c>
      <c r="AD35">
        <f>HYPERLINK("https://klasma.github.io/Logging_1273/tillsynsmail/A 42027-2023 tillsynsbegäran mail.docx", "A 42027-2023")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46299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60983-2025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45999</v>
      </c>
      <c r="E37" s="1" t="n">
        <v>46299</v>
      </c>
      <c r="F37" t="inlineStr">
        <is>
          <t>SKÅNE LÄN</t>
        </is>
      </c>
      <c r="G37" t="inlineStr">
        <is>
          <t>OSBY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HYPERLINK("https://klasma.github.io/Logging_1273/artfynd/A 60983-2025 artfynd.xlsx", "A 60983-2025")</f>
        <v/>
      </c>
      <c r="X37">
        <f>HYPERLINK("https://klasma.github.io/Logging_1273/kartor/A 60983-2025 karta.png", "A 60983-2025")</f>
        <v/>
      </c>
      <c r="Y37">
        <f>HYPERLINK("https://klasma.github.io/Logging_1273/kartor_geotiff/A 60983-2025 georefererad karta.tif", "A 60983-2025")</f>
        <v/>
      </c>
      <c r="AA37">
        <f>HYPERLINK("https://klasma.github.io/Logging_1273/klagomål/A 60983-2025 FSC-klagomål.docx", "A 60983-2025")</f>
        <v/>
      </c>
      <c r="AB37">
        <f>HYPERLINK("https://klasma.github.io/Logging_1273/klagomålsmail/A 60983-2025 FSC-klagomål mail.docx", "A 60983-2025")</f>
        <v/>
      </c>
      <c r="AC37">
        <f>HYPERLINK("https://klasma.github.io/Logging_1273/tillsyn/A 60983-2025 tillsynsbegäran.docx", "A 60983-2025")</f>
        <v/>
      </c>
      <c r="AD37">
        <f>HYPERLINK("https://klasma.github.io/Logging_1273/tillsynsmail/A 60983-2025 tillsynsbegäran mail.docx", "A 60983-2025")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46299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46299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46299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46299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25909-2026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46299</v>
      </c>
      <c r="F42" t="inlineStr">
        <is>
          <t>SKÅNE LÄN</t>
        </is>
      </c>
      <c r="G42" t="inlineStr">
        <is>
          <t>OSBY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Kungsfågel</t>
        </is>
      </c>
      <c r="W42">
        <f>HYPERLINK("https://klasma.github.io/Logging_1273/artfynd/A 25909-2026 artfynd.xlsx", "A 25909-2026")</f>
        <v/>
      </c>
      <c r="X42">
        <f>HYPERLINK("https://klasma.github.io/Logging_1273/kartor/A 25909-2026 karta.png", "A 25909-2026")</f>
        <v/>
      </c>
      <c r="Y42">
        <f>HYPERLINK("https://klasma.github.io/Logging_1273/kartor_geotiff/A 25909-2026 georefererad karta.tif", "A 25909-2026")</f>
        <v/>
      </c>
      <c r="AA42">
        <f>HYPERLINK("https://klasma.github.io/Logging_1273/klagomål/A 25909-2026 FSC-klagomål.docx", "A 25909-2026")</f>
        <v/>
      </c>
      <c r="AB42">
        <f>HYPERLINK("https://klasma.github.io/Logging_1273/klagomålsmail/A 25909-2026 FSC-klagomål mail.docx", "A 25909-2026")</f>
        <v/>
      </c>
      <c r="AC42">
        <f>HYPERLINK("https://klasma.github.io/Logging_1273/tillsyn/A 25909-2026 tillsynsbegäran.docx", "A 25909-2026")</f>
        <v/>
      </c>
      <c r="AD42">
        <f>HYPERLINK("https://klasma.github.io/Logging_1273/tillsynsmail/A 25909-2026 tillsynsbegäran mail.docx", "A 25909-2026")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46299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HYPERLINK("https://klasma.github.io/Logging_1273/artfynd/A 26457-2026 artfynd.xlsx", "A 26457-2026")</f>
        <v/>
      </c>
      <c r="X43">
        <f>HYPERLINK("https://klasma.github.io/Logging_1273/kartor/A 26457-2026 karta.png", "A 26457-2026")</f>
        <v/>
      </c>
      <c r="Y43">
        <f>HYPERLINK("https://klasma.github.io/Logging_1273/kartor_geotiff/A 26457-2026 georefererad karta.tif", "A 26457-2026")</f>
        <v/>
      </c>
      <c r="AA43">
        <f>HYPERLINK("https://klasma.github.io/Logging_1273/klagomål/A 26457-2026 FSC-klagomål.docx", "A 26457-2026")</f>
        <v/>
      </c>
      <c r="AB43">
        <f>HYPERLINK("https://klasma.github.io/Logging_1273/klagomålsmail/A 26457-2026 FSC-klagomål mail.docx", "A 26457-2026")</f>
        <v/>
      </c>
      <c r="AC43">
        <f>HYPERLINK("https://klasma.github.io/Logging_1273/tillsyn/A 26457-2026 tillsynsbegäran.docx", "A 26457-2026")</f>
        <v/>
      </c>
      <c r="AD43">
        <f>HYPERLINK("https://klasma.github.io/Logging_1273/tillsynsmail/A 26457-2026 tillsynsbegäran mail.docx", "A 26457-2026")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46299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46299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46299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10056-2024 artfynd.xlsx", "A 10056-2024")</f>
        <v/>
      </c>
      <c r="X46">
        <f>HYPERLINK("https://klasma.github.io/Logging_1273/kartor/A 10056-2024 karta.png", "A 10056-2024")</f>
        <v/>
      </c>
      <c r="Y46">
        <f>HYPERLINK("https://klasma.github.io/Logging_1273/kartor_geotiff/A 10056-2024 georefererad karta.tif", "A 10056-2024")</f>
        <v/>
      </c>
      <c r="AA46">
        <f>HYPERLINK("https://klasma.github.io/Logging_1273/klagomål/A 10056-2024 FSC-klagomål.docx", "A 10056-2024")</f>
        <v/>
      </c>
      <c r="AB46">
        <f>HYPERLINK("https://klasma.github.io/Logging_1273/klagomålsmail/A 10056-2024 FSC-klagomål mail.docx", "A 10056-2024")</f>
        <v/>
      </c>
      <c r="AC46">
        <f>HYPERLINK("https://klasma.github.io/Logging_1273/tillsyn/A 10056-2024 tillsynsbegäran.docx", "A 10056-2024")</f>
        <v/>
      </c>
      <c r="AD46">
        <f>HYPERLINK("https://klasma.github.io/Logging_1273/tillsynsmail/A 10056-2024 tillsynsbegäran mail.docx", "A 10056-2024")</f>
        <v/>
      </c>
    </row>
    <row r="47" ht="15" customHeight="1">
      <c r="A47" t="inlineStr">
        <is>
          <t>A 37500-2026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46299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8.4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HYPERLINK("https://klasma.github.io/Logging_1273/artfynd/A 37500-2026 artfynd.xlsx", "A 37500-2026")</f>
        <v/>
      </c>
      <c r="X47">
        <f>HYPERLINK("https://klasma.github.io/Logging_1273/kartor/A 37500-2026 karta.png", "A 37500-2026")</f>
        <v/>
      </c>
      <c r="Y47">
        <f>HYPERLINK("https://klasma.github.io/Logging_1273/kartor_geotiff/A 37500-2026 georefererad karta.tif", "A 37500-2026")</f>
        <v/>
      </c>
      <c r="AA47">
        <f>HYPERLINK("https://klasma.github.io/Logging_1273/klagomål/A 37500-2026 FSC-klagomål.docx", "A 37500-2026")</f>
        <v/>
      </c>
      <c r="AB47">
        <f>HYPERLINK("https://klasma.github.io/Logging_1273/klagomålsmail/A 37500-2026 FSC-klagomål mail.docx", "A 37500-2026")</f>
        <v/>
      </c>
      <c r="AC47">
        <f>HYPERLINK("https://klasma.github.io/Logging_1273/tillsyn/A 37500-2026 tillsynsbegäran.docx", "A 37500-2026")</f>
        <v/>
      </c>
      <c r="AD47">
        <f>HYPERLINK("https://klasma.github.io/Logging_1273/tillsynsmail/A 37500-2026 tillsynsbegäran mail.docx", "A 37500-2026")</f>
        <v/>
      </c>
    </row>
    <row r="48" ht="15" customHeight="1">
      <c r="A48" t="inlineStr">
        <is>
          <t>A 33064-2023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45126</v>
      </c>
      <c r="E48" s="1" t="n">
        <v>46299</v>
      </c>
      <c r="F48" t="inlineStr">
        <is>
          <t>SKÅNE LÄN</t>
        </is>
      </c>
      <c r="G48" t="inlineStr">
        <is>
          <t>OSBY</t>
        </is>
      </c>
      <c r="I48" t="n">
        <v>0.8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HYPERLINK("https://klasma.github.io/Logging_1273/artfynd/A 33064-2023 artfynd.xlsx", "A 33064-2023")</f>
        <v/>
      </c>
      <c r="X48">
        <f>HYPERLINK("https://klasma.github.io/Logging_1273/kartor/A 33064-2023 karta.png", "A 33064-2023")</f>
        <v/>
      </c>
      <c r="Y48">
        <f>HYPERLINK("https://klasma.github.io/Logging_1273/kartor_geotiff/A 33064-2023 georefererad karta.tif", "A 33064-2023")</f>
        <v/>
      </c>
      <c r="Z48">
        <f>HYPERLINK("https://klasma.github.io/Logging_1273/knärot/A 33064-2023 karta knärot.png", "A 33064-2023")</f>
        <v/>
      </c>
      <c r="AA48">
        <f>HYPERLINK("https://klasma.github.io/Logging_1273/klagomål/A 33064-2023 FSC-klagomål.docx", "A 33064-2023")</f>
        <v/>
      </c>
      <c r="AB48">
        <f>HYPERLINK("https://klasma.github.io/Logging_1273/klagomålsmail/A 33064-2023 FSC-klagomål mail.docx", "A 33064-2023")</f>
        <v/>
      </c>
      <c r="AC48">
        <f>HYPERLINK("https://klasma.github.io/Logging_1273/tillsyn/A 33064-2023 tillsynsbegäran.docx", "A 33064-2023")</f>
        <v/>
      </c>
      <c r="AD48">
        <f>HYPERLINK("https://klasma.github.io/Logging_1273/tillsynsmail/A 33064-2023 tillsynsbegäran mail.docx", "A 33064-2023")</f>
        <v/>
      </c>
    </row>
    <row r="49" ht="15" customHeight="1">
      <c r="A49" t="inlineStr">
        <is>
          <t>A 20227-2022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44698</v>
      </c>
      <c r="E49" s="1" t="n">
        <v>46299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7.1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Havsörn</t>
        </is>
      </c>
      <c r="W49">
        <f>HYPERLINK("https://klasma.github.io/Logging_1273/artfynd/A 20227-2022 artfynd.xlsx", "A 20227-2022")</f>
        <v/>
      </c>
      <c r="X49">
        <f>HYPERLINK("https://klasma.github.io/Logging_1273/kartor/A 20227-2022 karta.png", "A 20227-2022")</f>
        <v/>
      </c>
      <c r="Y49">
        <f>HYPERLINK("https://klasma.github.io/Logging_1273/kartor_geotiff/A 20227-2022 georefererad karta.tif", "A 20227-2022")</f>
        <v/>
      </c>
      <c r="AA49">
        <f>HYPERLINK("https://klasma.github.io/Logging_1273/klagomål/A 20227-2022 FSC-klagomål.docx", "A 20227-2022")</f>
        <v/>
      </c>
      <c r="AB49">
        <f>HYPERLINK("https://klasma.github.io/Logging_1273/klagomålsmail/A 20227-2022 FSC-klagomål mail.docx", "A 20227-2022")</f>
        <v/>
      </c>
      <c r="AC49">
        <f>HYPERLINK("https://klasma.github.io/Logging_1273/tillsyn/A 20227-2022 tillsynsbegäran.docx", "A 20227-2022")</f>
        <v/>
      </c>
      <c r="AD49">
        <f>HYPERLINK("https://klasma.github.io/Logging_1273/tillsynsmail/A 20227-2022 tillsynsbegäran mail.docx", "A 20227-2022")</f>
        <v/>
      </c>
      <c r="AE49">
        <f>HYPERLINK("https://klasma.github.io/Logging_1273/fåglar/A 20227-2022 prioriterade fågelarter.docx", "A 20227-2022")</f>
        <v/>
      </c>
    </row>
    <row r="50" ht="15" customHeight="1">
      <c r="A50" t="inlineStr">
        <is>
          <t>A 59677-2023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45255</v>
      </c>
      <c r="E50" s="1" t="n">
        <v>46299</v>
      </c>
      <c r="F50" t="inlineStr">
        <is>
          <t>SKÅNE LÄN</t>
        </is>
      </c>
      <c r="G50" t="inlineStr">
        <is>
          <t>OSBY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HYPERLINK("https://klasma.github.io/Logging_1273/artfynd/A 59677-2023 artfynd.xlsx", "A 59677-2023")</f>
        <v/>
      </c>
      <c r="X50">
        <f>HYPERLINK("https://klasma.github.io/Logging_1273/kartor/A 59677-2023 karta.png", "A 59677-2023")</f>
        <v/>
      </c>
      <c r="Y50">
        <f>HYPERLINK("https://klasma.github.io/Logging_1273/kartor_geotiff/A 59677-2023 georefererad karta.tif", "A 59677-2023")</f>
        <v/>
      </c>
      <c r="AA50">
        <f>HYPERLINK("https://klasma.github.io/Logging_1273/klagomål/A 59677-2023 FSC-klagomål.docx", "A 59677-2023")</f>
        <v/>
      </c>
      <c r="AB50">
        <f>HYPERLINK("https://klasma.github.io/Logging_1273/klagomålsmail/A 59677-2023 FSC-klagomål mail.docx", "A 59677-2023")</f>
        <v/>
      </c>
      <c r="AC50">
        <f>HYPERLINK("https://klasma.github.io/Logging_1273/tillsyn/A 59677-2023 tillsynsbegäran.docx", "A 59677-2023")</f>
        <v/>
      </c>
      <c r="AD50">
        <f>HYPERLINK("https://klasma.github.io/Logging_1273/tillsynsmail/A 59677-2023 tillsynsbegäran mail.docx", "A 59677-2023")</f>
        <v/>
      </c>
    </row>
    <row r="51" ht="15" customHeight="1">
      <c r="A51" t="inlineStr">
        <is>
          <t>A 61517-2022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46299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4.4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Blodticka</t>
        </is>
      </c>
      <c r="W51">
        <f>HYPERLINK("https://klasma.github.io/Logging_1273/artfynd/A 61517-2022 artfynd.xlsx", "A 61517-2022")</f>
        <v/>
      </c>
      <c r="X51">
        <f>HYPERLINK("https://klasma.github.io/Logging_1273/kartor/A 61517-2022 karta.png", "A 61517-2022")</f>
        <v/>
      </c>
      <c r="Y51">
        <f>HYPERLINK("https://klasma.github.io/Logging_1273/kartor_geotiff/A 61517-2022 georefererad karta.tif", "A 61517-2022")</f>
        <v/>
      </c>
      <c r="AA51">
        <f>HYPERLINK("https://klasma.github.io/Logging_1273/klagomål/A 61517-2022 FSC-klagomål.docx", "A 61517-2022")</f>
        <v/>
      </c>
      <c r="AB51">
        <f>HYPERLINK("https://klasma.github.io/Logging_1273/klagomålsmail/A 61517-2022 FSC-klagomål mail.docx", "A 61517-2022")</f>
        <v/>
      </c>
      <c r="AC51">
        <f>HYPERLINK("https://klasma.github.io/Logging_1273/tillsyn/A 61517-2022 tillsynsbegäran.docx", "A 61517-2022")</f>
        <v/>
      </c>
      <c r="AD51">
        <f>HYPERLINK("https://klasma.github.io/Logging_1273/tillsynsmail/A 61517-2022 tillsynsbegäran mail.docx", "A 61517-2022")</f>
        <v/>
      </c>
    </row>
    <row r="52" ht="15" customHeight="1">
      <c r="A52" t="inlineStr">
        <is>
          <t>A 61738-2024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46299</v>
      </c>
      <c r="F52" t="inlineStr">
        <is>
          <t>SKÅNE LÄN</t>
        </is>
      </c>
      <c r="G52" t="inlineStr">
        <is>
          <t>OSBY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HYPERLINK("https://klasma.github.io/Logging_1273/artfynd/A 61738-2024 artfynd.xlsx", "A 61738-2024")</f>
        <v/>
      </c>
      <c r="X52">
        <f>HYPERLINK("https://klasma.github.io/Logging_1273/kartor/A 61738-2024 karta.png", "A 61738-2024")</f>
        <v/>
      </c>
      <c r="Y52">
        <f>HYPERLINK("https://klasma.github.io/Logging_1273/kartor_geotiff/A 61738-2024 georefererad karta.tif", "A 61738-2024")</f>
        <v/>
      </c>
      <c r="AA52">
        <f>HYPERLINK("https://klasma.github.io/Logging_1273/klagomål/A 61738-2024 FSC-klagomål.docx", "A 61738-2024")</f>
        <v/>
      </c>
      <c r="AB52">
        <f>HYPERLINK("https://klasma.github.io/Logging_1273/klagomålsmail/A 61738-2024 FSC-klagomål mail.docx", "A 61738-2024")</f>
        <v/>
      </c>
      <c r="AC52">
        <f>HYPERLINK("https://klasma.github.io/Logging_1273/tillsyn/A 61738-2024 tillsynsbegäran.docx", "A 61738-2024")</f>
        <v/>
      </c>
      <c r="AD52">
        <f>HYPERLINK("https://klasma.github.io/Logging_1273/tillsynsmail/A 61738-2024 tillsynsbegäran mail.docx", "A 61738-2024")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46299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46299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46299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46299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46299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46299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46299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46299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46299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46299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46299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46299</v>
      </c>
      <c r="F64" t="inlineStr">
        <is>
          <t>SKÅNE LÄN</t>
        </is>
      </c>
      <c r="G64" t="inlineStr">
        <is>
          <t>OSBY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46299</v>
      </c>
      <c r="F65" t="inlineStr">
        <is>
          <t>SKÅNE LÄN</t>
        </is>
      </c>
      <c r="G65" t="inlineStr">
        <is>
          <t>OSBY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46299</v>
      </c>
      <c r="F66" t="inlineStr">
        <is>
          <t>SKÅNE LÄN</t>
        </is>
      </c>
      <c r="G66" t="inlineStr">
        <is>
          <t>OSBY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46299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46299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46299</v>
      </c>
      <c r="F69" t="inlineStr">
        <is>
          <t>SKÅNE LÄN</t>
        </is>
      </c>
      <c r="G69" t="inlineStr">
        <is>
          <t>OSBY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46299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44687</v>
      </c>
      <c r="E71" s="1" t="n">
        <v>46299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46299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46299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46299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46299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46299</v>
      </c>
      <c r="F76" t="inlineStr">
        <is>
          <t>SKÅNE LÄN</t>
        </is>
      </c>
      <c r="G76" t="inlineStr">
        <is>
          <t>OSBY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46299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46299</v>
      </c>
      <c r="F78" t="inlineStr">
        <is>
          <t>SKÅNE LÄN</t>
        </is>
      </c>
      <c r="G78" t="inlineStr">
        <is>
          <t>OSBY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46299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46299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46299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44764</v>
      </c>
      <c r="E82" s="1" t="n">
        <v>46299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46299</v>
      </c>
      <c r="F83" t="inlineStr">
        <is>
          <t>SKÅNE LÄN</t>
        </is>
      </c>
      <c r="G83" t="inlineStr">
        <is>
          <t>OSBY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46299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46299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56229-2021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44478</v>
      </c>
      <c r="E86" s="1" t="n">
        <v>46299</v>
      </c>
      <c r="F86" t="inlineStr">
        <is>
          <t>SKÅNE LÄN</t>
        </is>
      </c>
      <c r="G86" t="inlineStr">
        <is>
          <t>OSBY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46299</v>
      </c>
      <c r="F87" t="inlineStr">
        <is>
          <t>SKÅNE LÄN</t>
        </is>
      </c>
      <c r="G87" t="inlineStr">
        <is>
          <t>OSBY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46299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46299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46299</v>
      </c>
      <c r="F90" t="inlineStr">
        <is>
          <t>SKÅNE LÄN</t>
        </is>
      </c>
      <c r="G90" t="inlineStr">
        <is>
          <t>OSBY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46299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46299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46299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46299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46299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46299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46299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46299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46299</v>
      </c>
      <c r="F99" t="inlineStr">
        <is>
          <t>SKÅNE LÄN</t>
        </is>
      </c>
      <c r="G99" t="inlineStr">
        <is>
          <t>OSBY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46299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46299</v>
      </c>
      <c r="F101" t="inlineStr">
        <is>
          <t>SKÅNE LÄN</t>
        </is>
      </c>
      <c r="G101" t="inlineStr">
        <is>
          <t>OSBY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46299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46299</v>
      </c>
      <c r="F103" t="inlineStr">
        <is>
          <t>SKÅNE LÄN</t>
        </is>
      </c>
      <c r="G103" t="inlineStr">
        <is>
          <t>OSBY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46299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44553</v>
      </c>
      <c r="E105" s="1" t="n">
        <v>46299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44614</v>
      </c>
      <c r="E106" s="1" t="n">
        <v>46299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46299</v>
      </c>
      <c r="F107" t="inlineStr">
        <is>
          <t>SKÅNE LÄN</t>
        </is>
      </c>
      <c r="G107" t="inlineStr">
        <is>
          <t>OSBY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46299</v>
      </c>
      <c r="F108" t="inlineStr">
        <is>
          <t>SKÅNE LÄN</t>
        </is>
      </c>
      <c r="G108" t="inlineStr">
        <is>
          <t>OSBY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46299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46299</v>
      </c>
      <c r="F110" t="inlineStr">
        <is>
          <t>SKÅNE LÄN</t>
        </is>
      </c>
      <c r="G110" t="inlineStr">
        <is>
          <t>OSBY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46299</v>
      </c>
      <c r="F111" t="inlineStr">
        <is>
          <t>SKÅNE LÄN</t>
        </is>
      </c>
      <c r="G111" t="inlineStr">
        <is>
          <t>OSBY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46299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46299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46299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46299</v>
      </c>
      <c r="F115" t="inlineStr">
        <is>
          <t>SKÅNE LÄN</t>
        </is>
      </c>
      <c r="G115" t="inlineStr">
        <is>
          <t>OSBY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46299</v>
      </c>
      <c r="F116" t="inlineStr">
        <is>
          <t>SKÅNE LÄN</t>
        </is>
      </c>
      <c r="G116" t="inlineStr">
        <is>
          <t>OSBY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10775-2024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45369</v>
      </c>
      <c r="E117" s="1" t="n">
        <v>46299</v>
      </c>
      <c r="F117" t="inlineStr">
        <is>
          <t>SKÅNE LÄN</t>
        </is>
      </c>
      <c r="G117" t="inlineStr">
        <is>
          <t>OSBY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46299</v>
      </c>
      <c r="F118" t="inlineStr">
        <is>
          <t>SKÅNE LÄN</t>
        </is>
      </c>
      <c r="G118" t="inlineStr">
        <is>
          <t>OSBY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51861-2024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45607</v>
      </c>
      <c r="E119" s="1" t="n">
        <v>46299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46299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46299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46299</v>
      </c>
      <c r="F122" t="inlineStr">
        <is>
          <t>SKÅNE LÄN</t>
        </is>
      </c>
      <c r="G122" t="inlineStr">
        <is>
          <t>OSBY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46299</v>
      </c>
      <c r="F123" t="inlineStr">
        <is>
          <t>SKÅNE LÄN</t>
        </is>
      </c>
      <c r="G123" t="inlineStr">
        <is>
          <t>OSBY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46299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46299</v>
      </c>
      <c r="F125" t="inlineStr">
        <is>
          <t>SKÅNE LÄN</t>
        </is>
      </c>
      <c r="G125" t="inlineStr">
        <is>
          <t>OSBY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46299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46299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46299</v>
      </c>
      <c r="F128" t="inlineStr">
        <is>
          <t>SKÅNE LÄN</t>
        </is>
      </c>
      <c r="G128" t="inlineStr">
        <is>
          <t>OSBY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46299</v>
      </c>
      <c r="F129" t="inlineStr">
        <is>
          <t>SKÅNE LÄN</t>
        </is>
      </c>
      <c r="G129" t="inlineStr">
        <is>
          <t>OSBY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46299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46299</v>
      </c>
      <c r="F131" t="inlineStr">
        <is>
          <t>SKÅNE LÄN</t>
        </is>
      </c>
      <c r="G131" t="inlineStr">
        <is>
          <t>OSBY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46299</v>
      </c>
      <c r="F132" t="inlineStr">
        <is>
          <t>SKÅNE LÄN</t>
        </is>
      </c>
      <c r="G132" t="inlineStr">
        <is>
          <t>OSBY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46299</v>
      </c>
      <c r="F133" t="inlineStr">
        <is>
          <t>SKÅNE LÄN</t>
        </is>
      </c>
      <c r="G133" t="inlineStr">
        <is>
          <t>OSBY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55389-2023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45238</v>
      </c>
      <c r="E134" s="1" t="n">
        <v>46299</v>
      </c>
      <c r="F134" t="inlineStr">
        <is>
          <t>SKÅNE LÄN</t>
        </is>
      </c>
      <c r="G134" t="inlineStr">
        <is>
          <t>OSBY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46299</v>
      </c>
      <c r="F135" t="inlineStr">
        <is>
          <t>SKÅNE LÄN</t>
        </is>
      </c>
      <c r="G135" t="inlineStr">
        <is>
          <t>OSBY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46299</v>
      </c>
      <c r="F136" t="inlineStr">
        <is>
          <t>SKÅNE LÄN</t>
        </is>
      </c>
      <c r="G136" t="inlineStr">
        <is>
          <t>OSBY</t>
        </is>
      </c>
      <c r="H136" t="inlineStr">
        <is>
          <t>Naturvårdsverket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46299</v>
      </c>
      <c r="F137" t="inlineStr">
        <is>
          <t>SKÅNE LÄN</t>
        </is>
      </c>
      <c r="G137" t="inlineStr">
        <is>
          <t>OSBY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46299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46299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46299</v>
      </c>
      <c r="F140" t="inlineStr">
        <is>
          <t>SKÅNE LÄN</t>
        </is>
      </c>
      <c r="G140" t="inlineStr">
        <is>
          <t>OSBY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46299</v>
      </c>
      <c r="F141" t="inlineStr">
        <is>
          <t>SKÅNE LÄN</t>
        </is>
      </c>
      <c r="G141" t="inlineStr">
        <is>
          <t>OSBY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46299</v>
      </c>
      <c r="F142" t="inlineStr">
        <is>
          <t>SKÅNE LÄN</t>
        </is>
      </c>
      <c r="G142" t="inlineStr">
        <is>
          <t>OSBY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46299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46299</v>
      </c>
      <c r="F144" t="inlineStr">
        <is>
          <t>SKÅNE LÄN</t>
        </is>
      </c>
      <c r="G144" t="inlineStr">
        <is>
          <t>OSBY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46299</v>
      </c>
      <c r="F145" t="inlineStr">
        <is>
          <t>SKÅNE LÄN</t>
        </is>
      </c>
      <c r="G145" t="inlineStr">
        <is>
          <t>OSBY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45652</v>
      </c>
      <c r="E146" s="1" t="n">
        <v>46299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46299</v>
      </c>
      <c r="F147" t="inlineStr">
        <is>
          <t>SKÅNE LÄN</t>
        </is>
      </c>
      <c r="G147" t="inlineStr">
        <is>
          <t>OSBY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46299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46299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46299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46299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45353</v>
      </c>
      <c r="E152" s="1" t="n">
        <v>46299</v>
      </c>
      <c r="F152" t="inlineStr">
        <is>
          <t>SKÅNE LÄN</t>
        </is>
      </c>
      <c r="G152" t="inlineStr">
        <is>
          <t>OSBY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46299</v>
      </c>
      <c r="F153" t="inlineStr">
        <is>
          <t>SKÅNE LÄN</t>
        </is>
      </c>
      <c r="G153" t="inlineStr">
        <is>
          <t>OSBY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45605</v>
      </c>
      <c r="E154" s="1" t="n">
        <v>46299</v>
      </c>
      <c r="F154" t="inlineStr">
        <is>
          <t>SKÅNE LÄN</t>
        </is>
      </c>
      <c r="G154" t="inlineStr">
        <is>
          <t>OSBY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45605</v>
      </c>
      <c r="E155" s="1" t="n">
        <v>46299</v>
      </c>
      <c r="F155" t="inlineStr">
        <is>
          <t>SKÅNE LÄN</t>
        </is>
      </c>
      <c r="G155" t="inlineStr">
        <is>
          <t>OSBY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46299</v>
      </c>
      <c r="F156" t="inlineStr">
        <is>
          <t>SKÅNE LÄN</t>
        </is>
      </c>
      <c r="G156" t="inlineStr">
        <is>
          <t>OSBY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46299</v>
      </c>
      <c r="F157" t="inlineStr">
        <is>
          <t>SKÅNE LÄN</t>
        </is>
      </c>
      <c r="G157" t="inlineStr">
        <is>
          <t>OSBY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44904</v>
      </c>
      <c r="E158" s="1" t="n">
        <v>46299</v>
      </c>
      <c r="F158" t="inlineStr">
        <is>
          <t>SKÅNE LÄN</t>
        </is>
      </c>
      <c r="G158" t="inlineStr">
        <is>
          <t>OSBY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46299</v>
      </c>
      <c r="F159" t="inlineStr">
        <is>
          <t>SKÅNE LÄN</t>
        </is>
      </c>
      <c r="G159" t="inlineStr">
        <is>
          <t>OSBY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46299</v>
      </c>
      <c r="F160" t="inlineStr">
        <is>
          <t>SKÅNE LÄN</t>
        </is>
      </c>
      <c r="G160" t="inlineStr">
        <is>
          <t>OSBY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46299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46299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44585</v>
      </c>
      <c r="E163" s="1" t="n">
        <v>46299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46299</v>
      </c>
      <c r="F164" t="inlineStr">
        <is>
          <t>SKÅNE LÄN</t>
        </is>
      </c>
      <c r="G164" t="inlineStr">
        <is>
          <t>OSBY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46299</v>
      </c>
      <c r="F165" t="inlineStr">
        <is>
          <t>SKÅNE LÄN</t>
        </is>
      </c>
      <c r="G165" t="inlineStr">
        <is>
          <t>OSBY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46299</v>
      </c>
      <c r="F166" t="inlineStr">
        <is>
          <t>SKÅNE LÄN</t>
        </is>
      </c>
      <c r="G166" t="inlineStr">
        <is>
          <t>OSBY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46299</v>
      </c>
      <c r="F167" t="inlineStr">
        <is>
          <t>SKÅNE LÄN</t>
        </is>
      </c>
      <c r="G167" t="inlineStr">
        <is>
          <t>OSBY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46299</v>
      </c>
      <c r="F168" t="inlineStr">
        <is>
          <t>SKÅNE LÄN</t>
        </is>
      </c>
      <c r="G168" t="inlineStr">
        <is>
          <t>OSBY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46299</v>
      </c>
      <c r="F169" t="inlineStr">
        <is>
          <t>SKÅNE LÄN</t>
        </is>
      </c>
      <c r="G169" t="inlineStr">
        <is>
          <t>OSBY</t>
        </is>
      </c>
      <c r="H169" t="inlineStr">
        <is>
          <t>Kyrkan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46299</v>
      </c>
      <c r="F170" t="inlineStr">
        <is>
          <t>SKÅNE LÄN</t>
        </is>
      </c>
      <c r="G170" t="inlineStr">
        <is>
          <t>OSBY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46299</v>
      </c>
      <c r="F171" t="inlineStr">
        <is>
          <t>SKÅNE LÄN</t>
        </is>
      </c>
      <c r="G171" t="inlineStr">
        <is>
          <t>OSBY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46299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46299</v>
      </c>
      <c r="F173" t="inlineStr">
        <is>
          <t>SKÅNE LÄN</t>
        </is>
      </c>
      <c r="G173" t="inlineStr">
        <is>
          <t>OSBY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46299</v>
      </c>
      <c r="F174" t="inlineStr">
        <is>
          <t>SKÅNE LÄN</t>
        </is>
      </c>
      <c r="G174" t="inlineStr">
        <is>
          <t>OSBY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46299</v>
      </c>
      <c r="F175" t="inlineStr">
        <is>
          <t>SKÅNE LÄN</t>
        </is>
      </c>
      <c r="G175" t="inlineStr">
        <is>
          <t>OSBY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44662</v>
      </c>
      <c r="E176" s="1" t="n">
        <v>46299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46299</v>
      </c>
      <c r="F177" t="inlineStr">
        <is>
          <t>SKÅNE LÄN</t>
        </is>
      </c>
      <c r="G177" t="inlineStr">
        <is>
          <t>OSBY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46299</v>
      </c>
      <c r="F178" t="inlineStr">
        <is>
          <t>SKÅNE LÄN</t>
        </is>
      </c>
      <c r="G178" t="inlineStr">
        <is>
          <t>OSBY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46299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46299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46299</v>
      </c>
      <c r="F181" t="inlineStr">
        <is>
          <t>SKÅNE LÄN</t>
        </is>
      </c>
      <c r="G181" t="inlineStr">
        <is>
          <t>OSBY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46299</v>
      </c>
      <c r="F182" t="inlineStr">
        <is>
          <t>SKÅNE LÄN</t>
        </is>
      </c>
      <c r="G182" t="inlineStr">
        <is>
          <t>OSBY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46299</v>
      </c>
      <c r="F183" t="inlineStr">
        <is>
          <t>SKÅNE LÄN</t>
        </is>
      </c>
      <c r="G183" t="inlineStr">
        <is>
          <t>OSBY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46299</v>
      </c>
      <c r="F184" t="inlineStr">
        <is>
          <t>SKÅNE LÄN</t>
        </is>
      </c>
      <c r="G184" t="inlineStr">
        <is>
          <t>OSBY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46299</v>
      </c>
      <c r="F185" t="inlineStr">
        <is>
          <t>SKÅNE LÄN</t>
        </is>
      </c>
      <c r="G185" t="inlineStr">
        <is>
          <t>OSBY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46299</v>
      </c>
      <c r="F186" t="inlineStr">
        <is>
          <t>SKÅNE LÄN</t>
        </is>
      </c>
      <c r="G186" t="inlineStr">
        <is>
          <t>OSBY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46299</v>
      </c>
      <c r="F187" t="inlineStr">
        <is>
          <t>SKÅNE LÄN</t>
        </is>
      </c>
      <c r="G187" t="inlineStr">
        <is>
          <t>OSBY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46299</v>
      </c>
      <c r="F188" t="inlineStr">
        <is>
          <t>SKÅNE LÄN</t>
        </is>
      </c>
      <c r="G188" t="inlineStr">
        <is>
          <t>OSBY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46299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46299</v>
      </c>
      <c r="F190" t="inlineStr">
        <is>
          <t>SKÅNE LÄN</t>
        </is>
      </c>
      <c r="G190" t="inlineStr">
        <is>
          <t>OSBY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46299</v>
      </c>
      <c r="F191" t="inlineStr">
        <is>
          <t>SKÅNE LÄN</t>
        </is>
      </c>
      <c r="G191" t="inlineStr">
        <is>
          <t>OSBY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46299</v>
      </c>
      <c r="F192" t="inlineStr">
        <is>
          <t>SKÅNE LÄN</t>
        </is>
      </c>
      <c r="G192" t="inlineStr">
        <is>
          <t>OSBY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46299</v>
      </c>
      <c r="F193" t="inlineStr">
        <is>
          <t>SKÅNE LÄN</t>
        </is>
      </c>
      <c r="G193" t="inlineStr">
        <is>
          <t>OSBY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46299</v>
      </c>
      <c r="F194" t="inlineStr">
        <is>
          <t>SKÅNE LÄN</t>
        </is>
      </c>
      <c r="G194" t="inlineStr">
        <is>
          <t>OSBY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46299</v>
      </c>
      <c r="F195" t="inlineStr">
        <is>
          <t>SKÅNE LÄN</t>
        </is>
      </c>
      <c r="G195" t="inlineStr">
        <is>
          <t>OSBY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45055</v>
      </c>
      <c r="E196" s="1" t="n">
        <v>46299</v>
      </c>
      <c r="F196" t="inlineStr">
        <is>
          <t>SKÅNE LÄN</t>
        </is>
      </c>
      <c r="G196" t="inlineStr">
        <is>
          <t>OSBY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46299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46299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44921</v>
      </c>
      <c r="E199" s="1" t="n">
        <v>46299</v>
      </c>
      <c r="F199" t="inlineStr">
        <is>
          <t>SKÅNE LÄN</t>
        </is>
      </c>
      <c r="G199" t="inlineStr">
        <is>
          <t>OSBY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46299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46299</v>
      </c>
      <c r="F201" t="inlineStr">
        <is>
          <t>SKÅNE LÄN</t>
        </is>
      </c>
      <c r="G201" t="inlineStr">
        <is>
          <t>OSBY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45683</v>
      </c>
      <c r="E202" s="1" t="n">
        <v>46299</v>
      </c>
      <c r="F202" t="inlineStr">
        <is>
          <t>SKÅNE LÄN</t>
        </is>
      </c>
      <c r="G202" t="inlineStr">
        <is>
          <t>OSBY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46299</v>
      </c>
      <c r="F203" t="inlineStr">
        <is>
          <t>SKÅNE LÄN</t>
        </is>
      </c>
      <c r="G203" t="inlineStr">
        <is>
          <t>OSBY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46299</v>
      </c>
      <c r="F204" t="inlineStr">
        <is>
          <t>SKÅNE LÄN</t>
        </is>
      </c>
      <c r="G204" t="inlineStr">
        <is>
          <t>OSBY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46299</v>
      </c>
      <c r="F205" t="inlineStr">
        <is>
          <t>SKÅNE LÄN</t>
        </is>
      </c>
      <c r="G205" t="inlineStr">
        <is>
          <t>OSBY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46299</v>
      </c>
      <c r="F206" t="inlineStr">
        <is>
          <t>SKÅNE LÄN</t>
        </is>
      </c>
      <c r="G206" t="inlineStr">
        <is>
          <t>OSBY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46299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46299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46299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46299</v>
      </c>
      <c r="F210" t="inlineStr">
        <is>
          <t>SKÅNE LÄN</t>
        </is>
      </c>
      <c r="G210" t="inlineStr">
        <is>
          <t>OSBY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46299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44832</v>
      </c>
      <c r="E212" s="1" t="n">
        <v>46299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56877-2021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44481</v>
      </c>
      <c r="E213" s="1" t="n">
        <v>46299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46299</v>
      </c>
      <c r="F214" t="inlineStr">
        <is>
          <t>SKÅNE LÄN</t>
        </is>
      </c>
      <c r="G214" t="inlineStr">
        <is>
          <t>OSBY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46299</v>
      </c>
      <c r="F215" t="inlineStr">
        <is>
          <t>SKÅNE LÄN</t>
        </is>
      </c>
      <c r="G215" t="inlineStr">
        <is>
          <t>OSBY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45609</v>
      </c>
      <c r="E216" s="1" t="n">
        <v>46299</v>
      </c>
      <c r="F216" t="inlineStr">
        <is>
          <t>SKÅNE LÄN</t>
        </is>
      </c>
      <c r="G216" t="inlineStr">
        <is>
          <t>OSBY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46299</v>
      </c>
      <c r="F217" t="inlineStr">
        <is>
          <t>SKÅNE LÄN</t>
        </is>
      </c>
      <c r="G217" t="inlineStr">
        <is>
          <t>OSBY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46299</v>
      </c>
      <c r="F218" t="inlineStr">
        <is>
          <t>SKÅNE LÄN</t>
        </is>
      </c>
      <c r="G218" t="inlineStr">
        <is>
          <t>OSBY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46299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46299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46299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46299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46299</v>
      </c>
      <c r="F223" t="inlineStr">
        <is>
          <t>SKÅNE LÄN</t>
        </is>
      </c>
      <c r="G223" t="inlineStr">
        <is>
          <t>OSBY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46089</v>
      </c>
      <c r="E224" s="1" t="n">
        <v>46299</v>
      </c>
      <c r="F224" t="inlineStr">
        <is>
          <t>SKÅNE LÄN</t>
        </is>
      </c>
      <c r="G224" t="inlineStr">
        <is>
          <t>OSBY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46299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46299</v>
      </c>
      <c r="F226" t="inlineStr">
        <is>
          <t>SKÅNE LÄN</t>
        </is>
      </c>
      <c r="G226" t="inlineStr">
        <is>
          <t>OSBY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46089</v>
      </c>
      <c r="E227" s="1" t="n">
        <v>46299</v>
      </c>
      <c r="F227" t="inlineStr">
        <is>
          <t>SKÅNE LÄN</t>
        </is>
      </c>
      <c r="G227" t="inlineStr">
        <is>
          <t>OSBY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46299</v>
      </c>
      <c r="F228" t="inlineStr">
        <is>
          <t>SKÅNE LÄN</t>
        </is>
      </c>
      <c r="G228" t="inlineStr">
        <is>
          <t>OSBY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46299</v>
      </c>
      <c r="F229" t="inlineStr">
        <is>
          <t>SKÅNE LÄN</t>
        </is>
      </c>
      <c r="G229" t="inlineStr">
        <is>
          <t>OSBY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44580</v>
      </c>
      <c r="E230" s="1" t="n">
        <v>46299</v>
      </c>
      <c r="F230" t="inlineStr">
        <is>
          <t>SKÅNE LÄN</t>
        </is>
      </c>
      <c r="G230" t="inlineStr">
        <is>
          <t>OSBY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46299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44801</v>
      </c>
      <c r="E232" s="1" t="n">
        <v>46299</v>
      </c>
      <c r="F232" t="inlineStr">
        <is>
          <t>SKÅNE LÄN</t>
        </is>
      </c>
      <c r="G232" t="inlineStr">
        <is>
          <t>OSBY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46299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25579-2024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45463</v>
      </c>
      <c r="E234" s="1" t="n">
        <v>46299</v>
      </c>
      <c r="F234" t="inlineStr">
        <is>
          <t>SKÅNE LÄN</t>
        </is>
      </c>
      <c r="G234" t="inlineStr">
        <is>
          <t>OSBY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46299</v>
      </c>
      <c r="F235" t="inlineStr">
        <is>
          <t>SKÅNE LÄN</t>
        </is>
      </c>
      <c r="G235" t="inlineStr">
        <is>
          <t>OSBY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46299</v>
      </c>
      <c r="F236" t="inlineStr">
        <is>
          <t>SKÅNE LÄN</t>
        </is>
      </c>
      <c r="G236" t="inlineStr">
        <is>
          <t>OSBY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46299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46299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44749</v>
      </c>
      <c r="E239" s="1" t="n">
        <v>46299</v>
      </c>
      <c r="F239" t="inlineStr">
        <is>
          <t>SKÅNE LÄN</t>
        </is>
      </c>
      <c r="G239" t="inlineStr">
        <is>
          <t>OSBY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46299</v>
      </c>
      <c r="F240" t="inlineStr">
        <is>
          <t>SKÅNE LÄN</t>
        </is>
      </c>
      <c r="G240" t="inlineStr">
        <is>
          <t>OSBY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46299</v>
      </c>
      <c r="F241" t="inlineStr">
        <is>
          <t>SKÅNE LÄN</t>
        </is>
      </c>
      <c r="G241" t="inlineStr">
        <is>
          <t>OSBY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45468</v>
      </c>
      <c r="E242" s="1" t="n">
        <v>46299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46299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46299</v>
      </c>
      <c r="F244" t="inlineStr">
        <is>
          <t>SKÅNE LÄN</t>
        </is>
      </c>
      <c r="G244" t="inlineStr">
        <is>
          <t>OSBY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46299</v>
      </c>
      <c r="F245" t="inlineStr">
        <is>
          <t>SKÅNE LÄN</t>
        </is>
      </c>
      <c r="G245" t="inlineStr">
        <is>
          <t>OSBY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44663</v>
      </c>
      <c r="E246" s="1" t="n">
        <v>46299</v>
      </c>
      <c r="F246" t="inlineStr">
        <is>
          <t>SKÅNE LÄN</t>
        </is>
      </c>
      <c r="G246" t="inlineStr">
        <is>
          <t>OSBY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46299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46299</v>
      </c>
      <c r="F248" t="inlineStr">
        <is>
          <t>SKÅNE LÄN</t>
        </is>
      </c>
      <c r="G248" t="inlineStr">
        <is>
          <t>OSBY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46299</v>
      </c>
      <c r="F249" t="inlineStr">
        <is>
          <t>SKÅNE LÄN</t>
        </is>
      </c>
      <c r="G249" t="inlineStr">
        <is>
          <t>OSBY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46299</v>
      </c>
      <c r="F250" t="inlineStr">
        <is>
          <t>SKÅNE LÄN</t>
        </is>
      </c>
      <c r="G250" t="inlineStr">
        <is>
          <t>OSBY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45656</v>
      </c>
      <c r="E251" s="1" t="n">
        <v>46299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46299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46299</v>
      </c>
      <c r="F253" t="inlineStr">
        <is>
          <t>SKÅNE LÄN</t>
        </is>
      </c>
      <c r="G253" t="inlineStr">
        <is>
          <t>OSBY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46299</v>
      </c>
      <c r="F254" t="inlineStr">
        <is>
          <t>SKÅNE LÄN</t>
        </is>
      </c>
      <c r="G254" t="inlineStr">
        <is>
          <t>OSBY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46299</v>
      </c>
      <c r="F255" t="inlineStr">
        <is>
          <t>SKÅNE LÄN</t>
        </is>
      </c>
      <c r="G255" t="inlineStr">
        <is>
          <t>OSBY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46299</v>
      </c>
      <c r="F256" t="inlineStr">
        <is>
          <t>SKÅNE LÄN</t>
        </is>
      </c>
      <c r="G256" t="inlineStr">
        <is>
          <t>OSBY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46299</v>
      </c>
      <c r="F257" t="inlineStr">
        <is>
          <t>SKÅNE LÄN</t>
        </is>
      </c>
      <c r="G257" t="inlineStr">
        <is>
          <t>OSBY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58751-2024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45635</v>
      </c>
      <c r="E258" s="1" t="n">
        <v>46299</v>
      </c>
      <c r="F258" t="inlineStr">
        <is>
          <t>SKÅNE LÄN</t>
        </is>
      </c>
      <c r="G258" t="inlineStr">
        <is>
          <t>OSBY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46299</v>
      </c>
      <c r="F259" t="inlineStr">
        <is>
          <t>SKÅNE LÄN</t>
        </is>
      </c>
      <c r="G259" t="inlineStr">
        <is>
          <t>OSBY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46299</v>
      </c>
      <c r="F260" t="inlineStr">
        <is>
          <t>SKÅNE LÄN</t>
        </is>
      </c>
      <c r="G260" t="inlineStr">
        <is>
          <t>OSBY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46299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68592-2021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46299</v>
      </c>
      <c r="F262" t="inlineStr">
        <is>
          <t>SKÅNE LÄN</t>
        </is>
      </c>
      <c r="G262" t="inlineStr">
        <is>
          <t>OSBY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44746</v>
      </c>
      <c r="E263" s="1" t="n">
        <v>46299</v>
      </c>
      <c r="F263" t="inlineStr">
        <is>
          <t>SKÅNE LÄN</t>
        </is>
      </c>
      <c r="G263" t="inlineStr">
        <is>
          <t>OSBY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44832</v>
      </c>
      <c r="E264" s="1" t="n">
        <v>46299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46299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46299</v>
      </c>
      <c r="F266" t="inlineStr">
        <is>
          <t>SKÅNE LÄN</t>
        </is>
      </c>
      <c r="G266" t="inlineStr">
        <is>
          <t>OSBY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46299</v>
      </c>
      <c r="F267" t="inlineStr">
        <is>
          <t>SKÅNE LÄN</t>
        </is>
      </c>
      <c r="G267" t="inlineStr">
        <is>
          <t>OSBY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64469-2021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46299</v>
      </c>
      <c r="F268" t="inlineStr">
        <is>
          <t>SKÅNE LÄN</t>
        </is>
      </c>
      <c r="G268" t="inlineStr">
        <is>
          <t>OSBY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46299</v>
      </c>
      <c r="F269" t="inlineStr">
        <is>
          <t>SKÅNE LÄN</t>
        </is>
      </c>
      <c r="G269" t="inlineStr">
        <is>
          <t>OSBY</t>
        </is>
      </c>
      <c r="H269" t="inlineStr">
        <is>
          <t>Naturvårdsverket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46299</v>
      </c>
      <c r="F270" t="inlineStr">
        <is>
          <t>SKÅNE LÄN</t>
        </is>
      </c>
      <c r="G270" t="inlineStr">
        <is>
          <t>OSBY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44757</v>
      </c>
      <c r="E271" s="1" t="n">
        <v>46299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46299</v>
      </c>
      <c r="F272" t="inlineStr">
        <is>
          <t>SKÅNE LÄN</t>
        </is>
      </c>
      <c r="G272" t="inlineStr">
        <is>
          <t>OSBY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46299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46299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46299</v>
      </c>
      <c r="F275" t="inlineStr">
        <is>
          <t>SKÅNE LÄN</t>
        </is>
      </c>
      <c r="G275" t="inlineStr">
        <is>
          <t>OSBY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46299</v>
      </c>
      <c r="F276" t="inlineStr">
        <is>
          <t>SKÅNE LÄN</t>
        </is>
      </c>
      <c r="G276" t="inlineStr">
        <is>
          <t>OSBY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45369</v>
      </c>
      <c r="E277" s="1" t="n">
        <v>46299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45175</v>
      </c>
      <c r="E278" s="1" t="n">
        <v>46299</v>
      </c>
      <c r="F278" t="inlineStr">
        <is>
          <t>SKÅNE LÄN</t>
        </is>
      </c>
      <c r="G278" t="inlineStr">
        <is>
          <t>OSBY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46299</v>
      </c>
      <c r="F279" t="inlineStr">
        <is>
          <t>SKÅNE LÄN</t>
        </is>
      </c>
      <c r="G279" t="inlineStr">
        <is>
          <t>OSBY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46299</v>
      </c>
      <c r="F280" t="inlineStr">
        <is>
          <t>SKÅNE LÄN</t>
        </is>
      </c>
      <c r="G280" t="inlineStr">
        <is>
          <t>OSBY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46299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46299</v>
      </c>
      <c r="F282" t="inlineStr">
        <is>
          <t>SKÅNE LÄN</t>
        </is>
      </c>
      <c r="G282" t="inlineStr">
        <is>
          <t>OSBY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45390</v>
      </c>
      <c r="E283" s="1" t="n">
        <v>46299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45100</v>
      </c>
      <c r="E284" s="1" t="n">
        <v>46299</v>
      </c>
      <c r="F284" t="inlineStr">
        <is>
          <t>SKÅNE LÄN</t>
        </is>
      </c>
      <c r="G284" t="inlineStr">
        <is>
          <t>OSBY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46299</v>
      </c>
      <c r="F285" t="inlineStr">
        <is>
          <t>SKÅNE LÄN</t>
        </is>
      </c>
      <c r="G285" t="inlineStr">
        <is>
          <t>OSBY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46299</v>
      </c>
      <c r="F286" t="inlineStr">
        <is>
          <t>SKÅNE LÄN</t>
        </is>
      </c>
      <c r="G286" t="inlineStr">
        <is>
          <t>OSBY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46299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45436</v>
      </c>
      <c r="E288" s="1" t="n">
        <v>46299</v>
      </c>
      <c r="F288" t="inlineStr">
        <is>
          <t>SKÅNE LÄN</t>
        </is>
      </c>
      <c r="G288" t="inlineStr">
        <is>
          <t>OSBY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46299</v>
      </c>
      <c r="F289" t="inlineStr">
        <is>
          <t>SKÅNE LÄN</t>
        </is>
      </c>
      <c r="G289" t="inlineStr">
        <is>
          <t>OSBY</t>
        </is>
      </c>
      <c r="I289" t="n">
        <v>19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46299</v>
      </c>
      <c r="F290" t="inlineStr">
        <is>
          <t>SKÅNE LÄN</t>
        </is>
      </c>
      <c r="G290" t="inlineStr">
        <is>
          <t>OSBY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46299</v>
      </c>
      <c r="F291" t="inlineStr">
        <is>
          <t>SKÅNE LÄN</t>
        </is>
      </c>
      <c r="G291" t="inlineStr">
        <is>
          <t>OSBY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58154-2024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46299</v>
      </c>
      <c r="F292" t="inlineStr">
        <is>
          <t>SKÅNE LÄN</t>
        </is>
      </c>
      <c r="G292" t="inlineStr">
        <is>
          <t>OSBY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46299</v>
      </c>
      <c r="F293" t="inlineStr">
        <is>
          <t>SKÅNE LÄN</t>
        </is>
      </c>
      <c r="G293" t="inlineStr">
        <is>
          <t>OSBY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46299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46299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46299</v>
      </c>
      <c r="F296" t="inlineStr">
        <is>
          <t>SKÅNE LÄN</t>
        </is>
      </c>
      <c r="G296" t="inlineStr">
        <is>
          <t>OSBY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46299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46299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46299</v>
      </c>
      <c r="F299" t="inlineStr">
        <is>
          <t>SKÅNE LÄN</t>
        </is>
      </c>
      <c r="G299" t="inlineStr">
        <is>
          <t>OSBY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46299</v>
      </c>
      <c r="F300" t="inlineStr">
        <is>
          <t>SKÅNE LÄN</t>
        </is>
      </c>
      <c r="G300" t="inlineStr">
        <is>
          <t>OSBY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46299</v>
      </c>
      <c r="F301" t="inlineStr">
        <is>
          <t>SKÅNE LÄN</t>
        </is>
      </c>
      <c r="G301" t="inlineStr">
        <is>
          <t>OSBY</t>
        </is>
      </c>
      <c r="H301" t="inlineStr">
        <is>
          <t>Kommuner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46299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46299</v>
      </c>
      <c r="F303" t="inlineStr">
        <is>
          <t>SKÅNE LÄN</t>
        </is>
      </c>
      <c r="G303" t="inlineStr">
        <is>
          <t>OSBY</t>
        </is>
      </c>
      <c r="H303" t="inlineStr">
        <is>
          <t>Kommuner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46299</v>
      </c>
      <c r="F304" t="inlineStr">
        <is>
          <t>SKÅNE LÄN</t>
        </is>
      </c>
      <c r="G304" t="inlineStr">
        <is>
          <t>OSBY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46299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46299</v>
      </c>
      <c r="F306" t="inlineStr">
        <is>
          <t>SKÅNE LÄN</t>
        </is>
      </c>
      <c r="G306" t="inlineStr">
        <is>
          <t>OSBY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46299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46299</v>
      </c>
      <c r="F308" t="inlineStr">
        <is>
          <t>SKÅNE LÄN</t>
        </is>
      </c>
      <c r="G308" t="inlineStr">
        <is>
          <t>OSBY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46299</v>
      </c>
      <c r="F309" t="inlineStr">
        <is>
          <t>SKÅNE LÄN</t>
        </is>
      </c>
      <c r="G309" t="inlineStr">
        <is>
          <t>OSBY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45844</v>
      </c>
      <c r="E310" s="1" t="n">
        <v>46299</v>
      </c>
      <c r="F310" t="inlineStr">
        <is>
          <t>SKÅNE LÄN</t>
        </is>
      </c>
      <c r="G310" t="inlineStr">
        <is>
          <t>OSBY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46299</v>
      </c>
      <c r="F311" t="inlineStr">
        <is>
          <t>SKÅNE LÄN</t>
        </is>
      </c>
      <c r="G311" t="inlineStr">
        <is>
          <t>OSBY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22029-2022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46299</v>
      </c>
      <c r="F312" t="inlineStr">
        <is>
          <t>SKÅNE LÄN</t>
        </is>
      </c>
      <c r="G312" t="inlineStr">
        <is>
          <t>OSBY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67613-2021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46299</v>
      </c>
      <c r="F313" t="inlineStr">
        <is>
          <t>SKÅNE LÄN</t>
        </is>
      </c>
      <c r="G313" t="inlineStr">
        <is>
          <t>OSBY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67616-2021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46299</v>
      </c>
      <c r="F314" t="inlineStr">
        <is>
          <t>SKÅNE LÄN</t>
        </is>
      </c>
      <c r="G314" t="inlineStr">
        <is>
          <t>OSBY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46299</v>
      </c>
      <c r="F315" t="inlineStr">
        <is>
          <t>SKÅNE LÄN</t>
        </is>
      </c>
      <c r="G315" t="inlineStr">
        <is>
          <t>OSBY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45785</v>
      </c>
      <c r="E316" s="1" t="n">
        <v>46299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46299</v>
      </c>
      <c r="F317" t="inlineStr">
        <is>
          <t>SKÅNE LÄN</t>
        </is>
      </c>
      <c r="G317" t="inlineStr">
        <is>
          <t>OSBY</t>
        </is>
      </c>
      <c r="H317" t="inlineStr">
        <is>
          <t>Kommuner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44477</v>
      </c>
      <c r="E318" s="1" t="n">
        <v>46299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44776</v>
      </c>
      <c r="E319" s="1" t="n">
        <v>46299</v>
      </c>
      <c r="F319" t="inlineStr">
        <is>
          <t>SKÅNE LÄN</t>
        </is>
      </c>
      <c r="G319" t="inlineStr">
        <is>
          <t>OSBY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46299</v>
      </c>
      <c r="F320" t="inlineStr">
        <is>
          <t>SKÅNE LÄN</t>
        </is>
      </c>
      <c r="G320" t="inlineStr">
        <is>
          <t>OSBY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44790</v>
      </c>
      <c r="E321" s="1" t="n">
        <v>46299</v>
      </c>
      <c r="F321" t="inlineStr">
        <is>
          <t>SKÅNE LÄN</t>
        </is>
      </c>
      <c r="G321" t="inlineStr">
        <is>
          <t>OSBY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46299</v>
      </c>
      <c r="F322" t="inlineStr">
        <is>
          <t>SKÅNE LÄN</t>
        </is>
      </c>
      <c r="G322" t="inlineStr">
        <is>
          <t>OSBY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45589</v>
      </c>
      <c r="E323" s="1" t="n">
        <v>46299</v>
      </c>
      <c r="F323" t="inlineStr">
        <is>
          <t>SKÅNE LÄN</t>
        </is>
      </c>
      <c r="G323" t="inlineStr">
        <is>
          <t>OSBY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46299</v>
      </c>
      <c r="F324" t="inlineStr">
        <is>
          <t>SKÅNE LÄN</t>
        </is>
      </c>
      <c r="G324" t="inlineStr">
        <is>
          <t>OSBY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45686</v>
      </c>
      <c r="E325" s="1" t="n">
        <v>46299</v>
      </c>
      <c r="F325" t="inlineStr">
        <is>
          <t>SKÅNE LÄN</t>
        </is>
      </c>
      <c r="G325" t="inlineStr">
        <is>
          <t>OSBY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46299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46299</v>
      </c>
      <c r="F327" t="inlineStr">
        <is>
          <t>SKÅNE LÄN</t>
        </is>
      </c>
      <c r="G327" t="inlineStr">
        <is>
          <t>OSBY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46299</v>
      </c>
      <c r="F328" t="inlineStr">
        <is>
          <t>SKÅNE LÄN</t>
        </is>
      </c>
      <c r="G328" t="inlineStr">
        <is>
          <t>OSBY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46299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46299</v>
      </c>
      <c r="F330" t="inlineStr">
        <is>
          <t>SKÅNE LÄN</t>
        </is>
      </c>
      <c r="G330" t="inlineStr">
        <is>
          <t>OSBY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45506</v>
      </c>
      <c r="E331" s="1" t="n">
        <v>46299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46299</v>
      </c>
      <c r="F332" t="inlineStr">
        <is>
          <t>SKÅNE LÄN</t>
        </is>
      </c>
      <c r="G332" t="inlineStr">
        <is>
          <t>OSBY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44902</v>
      </c>
      <c r="E333" s="1" t="n">
        <v>46299</v>
      </c>
      <c r="F333" t="inlineStr">
        <is>
          <t>SKÅNE LÄN</t>
        </is>
      </c>
      <c r="G333" t="inlineStr">
        <is>
          <t>OSBY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45434</v>
      </c>
      <c r="E334" s="1" t="n">
        <v>46299</v>
      </c>
      <c r="F334" t="inlineStr">
        <is>
          <t>SKÅNE LÄN</t>
        </is>
      </c>
      <c r="G334" t="inlineStr">
        <is>
          <t>OSBY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45648</v>
      </c>
      <c r="E335" s="1" t="n">
        <v>46299</v>
      </c>
      <c r="F335" t="inlineStr">
        <is>
          <t>SKÅNE LÄN</t>
        </is>
      </c>
      <c r="G335" t="inlineStr">
        <is>
          <t>OSBY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46299</v>
      </c>
      <c r="F336" t="inlineStr">
        <is>
          <t>SKÅNE LÄN</t>
        </is>
      </c>
      <c r="G336" t="inlineStr">
        <is>
          <t>OSBY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44838</v>
      </c>
      <c r="E337" s="1" t="n">
        <v>46299</v>
      </c>
      <c r="F337" t="inlineStr">
        <is>
          <t>SKÅNE LÄN</t>
        </is>
      </c>
      <c r="G337" t="inlineStr">
        <is>
          <t>OSBY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45575</v>
      </c>
      <c r="E338" s="1" t="n">
        <v>46299</v>
      </c>
      <c r="F338" t="inlineStr">
        <is>
          <t>SKÅNE LÄN</t>
        </is>
      </c>
      <c r="G338" t="inlineStr">
        <is>
          <t>OSBY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46299</v>
      </c>
      <c r="F339" t="inlineStr">
        <is>
          <t>SKÅNE LÄN</t>
        </is>
      </c>
      <c r="G339" t="inlineStr">
        <is>
          <t>OSBY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46299</v>
      </c>
      <c r="F340" t="inlineStr">
        <is>
          <t>SKÅNE LÄN</t>
        </is>
      </c>
      <c r="G340" t="inlineStr">
        <is>
          <t>OSBY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46299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45453</v>
      </c>
      <c r="E342" s="1" t="n">
        <v>46299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46299</v>
      </c>
      <c r="F343" t="inlineStr">
        <is>
          <t>SKÅNE LÄN</t>
        </is>
      </c>
      <c r="G343" t="inlineStr">
        <is>
          <t>OSBY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45737</v>
      </c>
      <c r="E344" s="1" t="n">
        <v>46299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46299</v>
      </c>
      <c r="F345" t="inlineStr">
        <is>
          <t>SKÅNE LÄN</t>
        </is>
      </c>
      <c r="G345" t="inlineStr">
        <is>
          <t>OSBY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46299</v>
      </c>
      <c r="F346" t="inlineStr">
        <is>
          <t>SKÅNE LÄN</t>
        </is>
      </c>
      <c r="G346" t="inlineStr">
        <is>
          <t>OSBY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44658</v>
      </c>
      <c r="E347" s="1" t="n">
        <v>46299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46299</v>
      </c>
      <c r="F348" t="inlineStr">
        <is>
          <t>SKÅNE LÄN</t>
        </is>
      </c>
      <c r="G348" t="inlineStr">
        <is>
          <t>OSBY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46299</v>
      </c>
      <c r="F349" t="inlineStr">
        <is>
          <t>SKÅNE LÄN</t>
        </is>
      </c>
      <c r="G349" t="inlineStr">
        <is>
          <t>OSBY</t>
        </is>
      </c>
      <c r="H349" t="inlineStr">
        <is>
          <t>Kyrkan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46299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46299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46299</v>
      </c>
      <c r="F352" t="inlineStr">
        <is>
          <t>SKÅNE LÄN</t>
        </is>
      </c>
      <c r="G352" t="inlineStr">
        <is>
          <t>OSBY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46299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12680-2025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45733</v>
      </c>
      <c r="E354" s="1" t="n">
        <v>46299</v>
      </c>
      <c r="F354" t="inlineStr">
        <is>
          <t>SKÅNE LÄN</t>
        </is>
      </c>
      <c r="G354" t="inlineStr">
        <is>
          <t>OSBY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46299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46299</v>
      </c>
      <c r="F356" t="inlineStr">
        <is>
          <t>SKÅNE LÄN</t>
        </is>
      </c>
      <c r="G356" t="inlineStr">
        <is>
          <t>OSBY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46299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46299</v>
      </c>
      <c r="F358" t="inlineStr">
        <is>
          <t>SKÅNE LÄN</t>
        </is>
      </c>
      <c r="G358" t="inlineStr">
        <is>
          <t>OSBY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46299</v>
      </c>
      <c r="F359" t="inlineStr">
        <is>
          <t>SKÅNE LÄN</t>
        </is>
      </c>
      <c r="G359" t="inlineStr">
        <is>
          <t>OSBY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45360</v>
      </c>
      <c r="E360" s="1" t="n">
        <v>46299</v>
      </c>
      <c r="F360" t="inlineStr">
        <is>
          <t>SKÅNE LÄN</t>
        </is>
      </c>
      <c r="G360" t="inlineStr">
        <is>
          <t>OSBY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45148</v>
      </c>
      <c r="E361" s="1" t="n">
        <v>46299</v>
      </c>
      <c r="F361" t="inlineStr">
        <is>
          <t>SKÅNE LÄN</t>
        </is>
      </c>
      <c r="G361" t="inlineStr">
        <is>
          <t>OSBY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46299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46299</v>
      </c>
      <c r="F363" t="inlineStr">
        <is>
          <t>SKÅNE LÄN</t>
        </is>
      </c>
      <c r="G363" t="inlineStr">
        <is>
          <t>OSBY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74016-2021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44557</v>
      </c>
      <c r="E364" s="1" t="n">
        <v>46299</v>
      </c>
      <c r="F364" t="inlineStr">
        <is>
          <t>SKÅNE LÄN</t>
        </is>
      </c>
      <c r="G364" t="inlineStr">
        <is>
          <t>OSBY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45404</v>
      </c>
      <c r="E365" s="1" t="n">
        <v>46299</v>
      </c>
      <c r="F365" t="inlineStr">
        <is>
          <t>SKÅNE LÄN</t>
        </is>
      </c>
      <c r="G365" t="inlineStr">
        <is>
          <t>OSBY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46299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44911</v>
      </c>
      <c r="E367" s="1" t="n">
        <v>46299</v>
      </c>
      <c r="F367" t="inlineStr">
        <is>
          <t>SKÅNE LÄN</t>
        </is>
      </c>
      <c r="G367" t="inlineStr">
        <is>
          <t>OSBY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46299</v>
      </c>
      <c r="F368" t="inlineStr">
        <is>
          <t>SKÅNE LÄN</t>
        </is>
      </c>
      <c r="G368" t="inlineStr">
        <is>
          <t>OSBY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45436</v>
      </c>
      <c r="E369" s="1" t="n">
        <v>46299</v>
      </c>
      <c r="F369" t="inlineStr">
        <is>
          <t>SKÅNE LÄN</t>
        </is>
      </c>
      <c r="G369" t="inlineStr">
        <is>
          <t>OSBY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46299</v>
      </c>
      <c r="F370" t="inlineStr">
        <is>
          <t>SKÅNE LÄN</t>
        </is>
      </c>
      <c r="G370" t="inlineStr">
        <is>
          <t>OSBY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46299</v>
      </c>
      <c r="F371" t="inlineStr">
        <is>
          <t>SKÅNE LÄN</t>
        </is>
      </c>
      <c r="G371" t="inlineStr">
        <is>
          <t>OSBY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46299</v>
      </c>
      <c r="F372" t="inlineStr">
        <is>
          <t>SKÅNE LÄN</t>
        </is>
      </c>
      <c r="G372" t="inlineStr">
        <is>
          <t>OSBY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46299</v>
      </c>
      <c r="F373" t="inlineStr">
        <is>
          <t>SKÅNE LÄN</t>
        </is>
      </c>
      <c r="G373" t="inlineStr">
        <is>
          <t>OSBY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46299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46299</v>
      </c>
      <c r="F375" t="inlineStr">
        <is>
          <t>SKÅNE LÄN</t>
        </is>
      </c>
      <c r="G375" t="inlineStr">
        <is>
          <t>OSBY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46299</v>
      </c>
      <c r="F376" t="inlineStr">
        <is>
          <t>SKÅNE LÄN</t>
        </is>
      </c>
      <c r="G376" t="inlineStr">
        <is>
          <t>OSBY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45503</v>
      </c>
      <c r="E377" s="1" t="n">
        <v>46299</v>
      </c>
      <c r="F377" t="inlineStr">
        <is>
          <t>SKÅNE LÄN</t>
        </is>
      </c>
      <c r="G377" t="inlineStr">
        <is>
          <t>OSBY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46299</v>
      </c>
      <c r="F378" t="inlineStr">
        <is>
          <t>SKÅNE LÄN</t>
        </is>
      </c>
      <c r="G378" t="inlineStr">
        <is>
          <t>OSBY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25149-2026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46175</v>
      </c>
      <c r="E379" s="1" t="n">
        <v>46299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46299</v>
      </c>
      <c r="F380" t="inlineStr">
        <is>
          <t>SKÅNE LÄN</t>
        </is>
      </c>
      <c r="G380" t="inlineStr">
        <is>
          <t>OSBY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46299</v>
      </c>
      <c r="F381" t="inlineStr">
        <is>
          <t>SKÅNE LÄN</t>
        </is>
      </c>
      <c r="G381" t="inlineStr">
        <is>
          <t>OSBY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46299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46180</v>
      </c>
      <c r="E383" s="1" t="n">
        <v>46299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45448</v>
      </c>
      <c r="E384" s="1" t="n">
        <v>46299</v>
      </c>
      <c r="F384" t="inlineStr">
        <is>
          <t>SKÅNE LÄN</t>
        </is>
      </c>
      <c r="G384" t="inlineStr">
        <is>
          <t>OSBY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46299</v>
      </c>
      <c r="F385" t="inlineStr">
        <is>
          <t>SKÅNE LÄN</t>
        </is>
      </c>
      <c r="G385" t="inlineStr">
        <is>
          <t>OSBY</t>
        </is>
      </c>
      <c r="H385" t="inlineStr">
        <is>
          <t>Kommuner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46299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46299</v>
      </c>
      <c r="F387" t="inlineStr">
        <is>
          <t>SKÅNE LÄN</t>
        </is>
      </c>
      <c r="G387" t="inlineStr">
        <is>
          <t>OSBY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44997</v>
      </c>
      <c r="E388" s="1" t="n">
        <v>46299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46299</v>
      </c>
      <c r="F389" t="inlineStr">
        <is>
          <t>SKÅNE LÄN</t>
        </is>
      </c>
      <c r="G389" t="inlineStr">
        <is>
          <t>OSBY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46299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46299</v>
      </c>
      <c r="F391" t="inlineStr">
        <is>
          <t>SKÅNE LÄN</t>
        </is>
      </c>
      <c r="G391" t="inlineStr">
        <is>
          <t>OSBY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46299</v>
      </c>
      <c r="F392" t="inlineStr">
        <is>
          <t>SKÅNE LÄN</t>
        </is>
      </c>
      <c r="G392" t="inlineStr">
        <is>
          <t>OSBY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46299</v>
      </c>
      <c r="F393" t="inlineStr">
        <is>
          <t>SKÅNE LÄN</t>
        </is>
      </c>
      <c r="G393" t="inlineStr">
        <is>
          <t>OSBY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46299</v>
      </c>
      <c r="F394" t="inlineStr">
        <is>
          <t>SKÅNE LÄN</t>
        </is>
      </c>
      <c r="G394" t="inlineStr">
        <is>
          <t>OSBY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45377</v>
      </c>
      <c r="E395" s="1" t="n">
        <v>46299</v>
      </c>
      <c r="F395" t="inlineStr">
        <is>
          <t>SKÅNE LÄN</t>
        </is>
      </c>
      <c r="G395" t="inlineStr">
        <is>
          <t>OSBY</t>
        </is>
      </c>
      <c r="H395" t="inlineStr">
        <is>
          <t>Kommuner</t>
        </is>
      </c>
      <c r="I395" t="n">
        <v>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46299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46299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46299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46299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46299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46299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46299</v>
      </c>
      <c r="F402" t="inlineStr">
        <is>
          <t>SKÅNE LÄN</t>
        </is>
      </c>
      <c r="G402" t="inlineStr">
        <is>
          <t>OSBY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46299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46299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46299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46299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46299</v>
      </c>
      <c r="F407" t="inlineStr">
        <is>
          <t>SKÅNE LÄN</t>
        </is>
      </c>
      <c r="G407" t="inlineStr">
        <is>
          <t>OSBY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46299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46299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46299</v>
      </c>
      <c r="F410" t="inlineStr">
        <is>
          <t>SKÅNE LÄN</t>
        </is>
      </c>
      <c r="G410" t="inlineStr">
        <is>
          <t>OSBY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46299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45371</v>
      </c>
      <c r="E412" s="1" t="n">
        <v>46299</v>
      </c>
      <c r="F412" t="inlineStr">
        <is>
          <t>SKÅNE LÄN</t>
        </is>
      </c>
      <c r="G412" t="inlineStr">
        <is>
          <t>OSBY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54009-2023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46299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44965</v>
      </c>
      <c r="E414" s="1" t="n">
        <v>46299</v>
      </c>
      <c r="F414" t="inlineStr">
        <is>
          <t>SKÅNE LÄN</t>
        </is>
      </c>
      <c r="G414" t="inlineStr">
        <is>
          <t>OSBY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46299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46299</v>
      </c>
      <c r="F416" t="inlineStr">
        <is>
          <t>SKÅNE LÄN</t>
        </is>
      </c>
      <c r="G416" t="inlineStr">
        <is>
          <t>OSBY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46299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46299</v>
      </c>
      <c r="F418" t="inlineStr">
        <is>
          <t>SKÅNE LÄN</t>
        </is>
      </c>
      <c r="G418" t="inlineStr">
        <is>
          <t>OSBY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46299</v>
      </c>
      <c r="F419" t="inlineStr">
        <is>
          <t>SKÅNE LÄN</t>
        </is>
      </c>
      <c r="G419" t="inlineStr">
        <is>
          <t>OSBY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46299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37358-2024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45540</v>
      </c>
      <c r="E421" s="1" t="n">
        <v>46299</v>
      </c>
      <c r="F421" t="inlineStr">
        <is>
          <t>SKÅNE LÄN</t>
        </is>
      </c>
      <c r="G421" t="inlineStr">
        <is>
          <t>OSBY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46299</v>
      </c>
      <c r="F422" t="inlineStr">
        <is>
          <t>SKÅNE LÄN</t>
        </is>
      </c>
      <c r="G422" t="inlineStr">
        <is>
          <t>OSBY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46200</v>
      </c>
      <c r="E423" s="1" t="n">
        <v>46299</v>
      </c>
      <c r="F423" t="inlineStr">
        <is>
          <t>SKÅNE LÄN</t>
        </is>
      </c>
      <c r="G423" t="inlineStr">
        <is>
          <t>OSBY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46299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46299</v>
      </c>
      <c r="F425" t="inlineStr">
        <is>
          <t>SKÅNE LÄN</t>
        </is>
      </c>
      <c r="G425" t="inlineStr">
        <is>
          <t>OSBY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44895</v>
      </c>
      <c r="E426" s="1" t="n">
        <v>46299</v>
      </c>
      <c r="F426" t="inlineStr">
        <is>
          <t>SKÅNE LÄN</t>
        </is>
      </c>
      <c r="G426" t="inlineStr">
        <is>
          <t>OSBY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22223-2024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46299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61520-2022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46299</v>
      </c>
      <c r="F428" t="inlineStr">
        <is>
          <t>SKÅNE LÄN</t>
        </is>
      </c>
      <c r="G428" t="inlineStr">
        <is>
          <t>OSBY</t>
        </is>
      </c>
      <c r="H428" t="inlineStr">
        <is>
          <t>Kyrkan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46299</v>
      </c>
      <c r="F429" t="inlineStr">
        <is>
          <t>SKÅNE LÄN</t>
        </is>
      </c>
      <c r="G429" t="inlineStr">
        <is>
          <t>OSBY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46299</v>
      </c>
      <c r="F430" t="inlineStr">
        <is>
          <t>SKÅNE LÄN</t>
        </is>
      </c>
      <c r="G430" t="inlineStr">
        <is>
          <t>OSBY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46299</v>
      </c>
      <c r="F431" t="inlineStr">
        <is>
          <t>SKÅNE LÄN</t>
        </is>
      </c>
      <c r="G431" t="inlineStr">
        <is>
          <t>OSBY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46299</v>
      </c>
      <c r="F432" t="inlineStr">
        <is>
          <t>SKÅNE LÄN</t>
        </is>
      </c>
      <c r="G432" t="inlineStr">
        <is>
          <t>OSBY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45063</v>
      </c>
      <c r="E433" s="1" t="n">
        <v>46299</v>
      </c>
      <c r="F433" t="inlineStr">
        <is>
          <t>SKÅNE LÄN</t>
        </is>
      </c>
      <c r="G433" t="inlineStr">
        <is>
          <t>OSBY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74033-2021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44557</v>
      </c>
      <c r="E434" s="1" t="n">
        <v>46299</v>
      </c>
      <c r="F434" t="inlineStr">
        <is>
          <t>SKÅNE LÄN</t>
        </is>
      </c>
      <c r="G434" t="inlineStr">
        <is>
          <t>OSBY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46299</v>
      </c>
      <c r="F435" t="inlineStr">
        <is>
          <t>SKÅNE LÄN</t>
        </is>
      </c>
      <c r="G435" t="inlineStr">
        <is>
          <t>OSBY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46299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46299</v>
      </c>
      <c r="F437" t="inlineStr">
        <is>
          <t>SKÅNE LÄN</t>
        </is>
      </c>
      <c r="G437" t="inlineStr">
        <is>
          <t>OSBY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58747-2024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45635</v>
      </c>
      <c r="E438" s="1" t="n">
        <v>46299</v>
      </c>
      <c r="F438" t="inlineStr">
        <is>
          <t>SKÅNE LÄN</t>
        </is>
      </c>
      <c r="G438" t="inlineStr">
        <is>
          <t>OSBY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45079</v>
      </c>
      <c r="E439" s="1" t="n">
        <v>46299</v>
      </c>
      <c r="F439" t="inlineStr">
        <is>
          <t>SKÅNE LÄN</t>
        </is>
      </c>
      <c r="G439" t="inlineStr">
        <is>
          <t>OSBY</t>
        </is>
      </c>
      <c r="H439" t="inlineStr">
        <is>
          <t>Kommuner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45002</v>
      </c>
      <c r="E440" s="1" t="n">
        <v>46299</v>
      </c>
      <c r="F440" t="inlineStr">
        <is>
          <t>SKÅNE LÄN</t>
        </is>
      </c>
      <c r="G440" t="inlineStr">
        <is>
          <t>OSBY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46213</v>
      </c>
      <c r="E441" s="1" t="n">
        <v>46299</v>
      </c>
      <c r="F441" t="inlineStr">
        <is>
          <t>SKÅNE LÄN</t>
        </is>
      </c>
      <c r="G441" t="inlineStr">
        <is>
          <t>OSBY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46299</v>
      </c>
      <c r="F442" t="inlineStr">
        <is>
          <t>SKÅNE LÄN</t>
        </is>
      </c>
      <c r="G442" t="inlineStr">
        <is>
          <t>OSBY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46299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45078</v>
      </c>
      <c r="E444" s="1" t="n">
        <v>46299</v>
      </c>
      <c r="F444" t="inlineStr">
        <is>
          <t>SKÅNE LÄN</t>
        </is>
      </c>
      <c r="G444" t="inlineStr">
        <is>
          <t>OSBY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46299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46299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46299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46299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46299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46299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46299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46265</v>
      </c>
      <c r="E452" s="1" t="n">
        <v>46299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46299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46299</v>
      </c>
      <c r="F454" t="inlineStr">
        <is>
          <t>SKÅNE LÄN</t>
        </is>
      </c>
      <c r="G454" t="inlineStr">
        <is>
          <t>OSBY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46299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44921</v>
      </c>
      <c r="E456" s="1" t="n">
        <v>46299</v>
      </c>
      <c r="F456" t="inlineStr">
        <is>
          <t>SKÅNE LÄN</t>
        </is>
      </c>
      <c r="G456" t="inlineStr">
        <is>
          <t>OSBY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46299</v>
      </c>
      <c r="F457" t="inlineStr">
        <is>
          <t>SKÅNE LÄN</t>
        </is>
      </c>
      <c r="G457" t="inlineStr">
        <is>
          <t>OSBY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46299</v>
      </c>
      <c r="F458" t="inlineStr">
        <is>
          <t>SKÅNE LÄN</t>
        </is>
      </c>
      <c r="G458" t="inlineStr">
        <is>
          <t>OSBY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46299</v>
      </c>
      <c r="F459" t="inlineStr">
        <is>
          <t>SKÅNE LÄN</t>
        </is>
      </c>
      <c r="G459" t="inlineStr">
        <is>
          <t>OSBY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46268</v>
      </c>
      <c r="E460" s="1" t="n">
        <v>46299</v>
      </c>
      <c r="F460" t="inlineStr">
        <is>
          <t>SKÅNE LÄN</t>
        </is>
      </c>
      <c r="G460" t="inlineStr">
        <is>
          <t>OSBY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46299</v>
      </c>
      <c r="F461" t="inlineStr">
        <is>
          <t>SKÅNE LÄN</t>
        </is>
      </c>
      <c r="G461" t="inlineStr">
        <is>
          <t>OSBY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46299</v>
      </c>
      <c r="F462" t="inlineStr">
        <is>
          <t>SKÅNE LÄN</t>
        </is>
      </c>
      <c r="G462" t="inlineStr">
        <is>
          <t>OSBY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46299</v>
      </c>
      <c r="F463" t="inlineStr">
        <is>
          <t>SKÅNE LÄN</t>
        </is>
      </c>
      <c r="G463" t="inlineStr">
        <is>
          <t>OSBY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35986-2022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44802</v>
      </c>
      <c r="E464" s="1" t="n">
        <v>46299</v>
      </c>
      <c r="F464" t="inlineStr">
        <is>
          <t>SKÅNE LÄN</t>
        </is>
      </c>
      <c r="G464" t="inlineStr">
        <is>
          <t>OSBY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46299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46299</v>
      </c>
      <c r="F466" t="inlineStr">
        <is>
          <t>SKÅNE LÄN</t>
        </is>
      </c>
      <c r="G466" t="inlineStr">
        <is>
          <t>OSBY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45390</v>
      </c>
      <c r="E467" s="1" t="n">
        <v>46299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46299</v>
      </c>
      <c r="F468" t="inlineStr">
        <is>
          <t>SKÅNE LÄN</t>
        </is>
      </c>
      <c r="G468" t="inlineStr">
        <is>
          <t>OSBY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45744</v>
      </c>
      <c r="E469" s="1" t="n">
        <v>46299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46299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46299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46299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46299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46299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66984-2021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46299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46299</v>
      </c>
      <c r="F476" t="inlineStr">
        <is>
          <t>SKÅNE LÄN</t>
        </is>
      </c>
      <c r="G476" t="inlineStr">
        <is>
          <t>OSBY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46299</v>
      </c>
      <c r="F477" t="inlineStr">
        <is>
          <t>SKÅNE LÄN</t>
        </is>
      </c>
      <c r="G477" t="inlineStr">
        <is>
          <t>OSBY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45375</v>
      </c>
      <c r="E478" s="1" t="n">
        <v>46299</v>
      </c>
      <c r="F478" t="inlineStr">
        <is>
          <t>SKÅNE LÄN</t>
        </is>
      </c>
      <c r="G478" t="inlineStr">
        <is>
          <t>OSBY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46299</v>
      </c>
      <c r="F479" t="inlineStr">
        <is>
          <t>SKÅNE LÄN</t>
        </is>
      </c>
      <c r="G479" t="inlineStr">
        <is>
          <t>OSBY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46299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46299</v>
      </c>
      <c r="F481" t="inlineStr">
        <is>
          <t>SKÅNE LÄN</t>
        </is>
      </c>
      <c r="G481" t="inlineStr">
        <is>
          <t>OSBY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46299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46299</v>
      </c>
      <c r="F483" t="inlineStr">
        <is>
          <t>SKÅNE LÄN</t>
        </is>
      </c>
      <c r="G483" t="inlineStr">
        <is>
          <t>OSBY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45117</v>
      </c>
      <c r="E484" s="1" t="n">
        <v>46299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44430-2024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45573</v>
      </c>
      <c r="E485" s="1" t="n">
        <v>46299</v>
      </c>
      <c r="F485" t="inlineStr">
        <is>
          <t>SKÅNE LÄN</t>
        </is>
      </c>
      <c r="G485" t="inlineStr">
        <is>
          <t>OSBY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45016</v>
      </c>
      <c r="E486" s="1" t="n">
        <v>46299</v>
      </c>
      <c r="F486" t="inlineStr">
        <is>
          <t>SKÅNE LÄN</t>
        </is>
      </c>
      <c r="G486" t="inlineStr">
        <is>
          <t>OSBY</t>
        </is>
      </c>
      <c r="H486" t="inlineStr">
        <is>
          <t>Naturvårdsverket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46299</v>
      </c>
      <c r="F487" t="inlineStr">
        <is>
          <t>SKÅNE LÄN</t>
        </is>
      </c>
      <c r="G487" t="inlineStr">
        <is>
          <t>OSBY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11555-2022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44631</v>
      </c>
      <c r="E488" s="1" t="n">
        <v>46299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46299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45362</v>
      </c>
      <c r="E490" s="1" t="n">
        <v>46299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46299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44966</v>
      </c>
      <c r="E492" s="1" t="n">
        <v>46299</v>
      </c>
      <c r="F492" t="inlineStr">
        <is>
          <t>SKÅNE LÄN</t>
        </is>
      </c>
      <c r="G492" t="inlineStr">
        <is>
          <t>OSBY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41977-2023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45177</v>
      </c>
      <c r="E493" s="1" t="n">
        <v>46299</v>
      </c>
      <c r="F493" t="inlineStr">
        <is>
          <t>SKÅNE LÄN</t>
        </is>
      </c>
      <c r="G493" t="inlineStr">
        <is>
          <t>OSBY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12058-2024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45377</v>
      </c>
      <c r="E494" s="1" t="n">
        <v>46299</v>
      </c>
      <c r="F494" t="inlineStr">
        <is>
          <t>SKÅNE LÄN</t>
        </is>
      </c>
      <c r="G494" t="inlineStr">
        <is>
          <t>OSBY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46299</v>
      </c>
      <c r="F495" t="inlineStr">
        <is>
          <t>SKÅNE LÄN</t>
        </is>
      </c>
      <c r="G495" t="inlineStr">
        <is>
          <t>OSBY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39781-2026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46290</v>
      </c>
      <c r="E496" s="1" t="n">
        <v>46299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45555</v>
      </c>
      <c r="E497" s="1" t="n">
        <v>46299</v>
      </c>
      <c r="F497" t="inlineStr">
        <is>
          <t>SKÅNE LÄN</t>
        </is>
      </c>
      <c r="G497" t="inlineStr">
        <is>
          <t>OSBY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46299</v>
      </c>
      <c r="F498" t="inlineStr">
        <is>
          <t>SKÅNE LÄN</t>
        </is>
      </c>
      <c r="G498" t="inlineStr">
        <is>
          <t>OSBY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46299</v>
      </c>
      <c r="F499" t="inlineStr">
        <is>
          <t>SKÅNE LÄN</t>
        </is>
      </c>
      <c r="G499" t="inlineStr">
        <is>
          <t>OSBY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45217</v>
      </c>
      <c r="E500" s="1" t="n">
        <v>46299</v>
      </c>
      <c r="F500" t="inlineStr">
        <is>
          <t>SKÅNE LÄN</t>
        </is>
      </c>
      <c r="G500" t="inlineStr">
        <is>
          <t>OSBY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45686</v>
      </c>
      <c r="E501" s="1" t="n">
        <v>46299</v>
      </c>
      <c r="F501" t="inlineStr">
        <is>
          <t>SKÅNE LÄN</t>
        </is>
      </c>
      <c r="G501" t="inlineStr">
        <is>
          <t>OSBY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46299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56998-2024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45628</v>
      </c>
      <c r="E503" s="1" t="n">
        <v>46299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74050-2021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44557</v>
      </c>
      <c r="E504" s="1" t="n">
        <v>46299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45194</v>
      </c>
      <c r="E505" s="1" t="n">
        <v>46299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46299</v>
      </c>
      <c r="F506" t="inlineStr">
        <is>
          <t>SKÅNE LÄN</t>
        </is>
      </c>
      <c r="G506" t="inlineStr">
        <is>
          <t>OSBY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46299</v>
      </c>
      <c r="F507" t="inlineStr">
        <is>
          <t>SKÅNE LÄN</t>
        </is>
      </c>
      <c r="G507" t="inlineStr">
        <is>
          <t>OSBY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52857-2022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44872</v>
      </c>
      <c r="E508" s="1" t="n">
        <v>46299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46299</v>
      </c>
      <c r="F509" t="inlineStr">
        <is>
          <t>SKÅNE LÄN</t>
        </is>
      </c>
      <c r="G509" t="inlineStr">
        <is>
          <t>OSBY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46299</v>
      </c>
      <c r="F510" t="inlineStr">
        <is>
          <t>SKÅNE LÄN</t>
        </is>
      </c>
      <c r="G510" t="inlineStr">
        <is>
          <t>OSBY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46299</v>
      </c>
      <c r="F511" t="inlineStr">
        <is>
          <t>SKÅNE LÄN</t>
        </is>
      </c>
      <c r="G511" t="inlineStr">
        <is>
          <t>OSBY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44949</v>
      </c>
      <c r="E512" s="1" t="n">
        <v>46299</v>
      </c>
      <c r="F512" t="inlineStr">
        <is>
          <t>SKÅNE LÄN</t>
        </is>
      </c>
      <c r="G512" t="inlineStr">
        <is>
          <t>OSBY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46299</v>
      </c>
      <c r="F513" t="inlineStr">
        <is>
          <t>SKÅNE LÄN</t>
        </is>
      </c>
      <c r="G513" t="inlineStr">
        <is>
          <t>OSBY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46299</v>
      </c>
      <c r="F514" t="inlineStr">
        <is>
          <t>SKÅNE LÄN</t>
        </is>
      </c>
      <c r="G514" t="inlineStr">
        <is>
          <t>OSBY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46299</v>
      </c>
      <c r="F515" t="inlineStr">
        <is>
          <t>SKÅNE LÄN</t>
        </is>
      </c>
      <c r="G515" t="inlineStr">
        <is>
          <t>OSBY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46299</v>
      </c>
      <c r="F516" t="inlineStr">
        <is>
          <t>SKÅNE LÄN</t>
        </is>
      </c>
      <c r="G516" t="inlineStr">
        <is>
          <t>OSBY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46299</v>
      </c>
      <c r="F517" t="inlineStr">
        <is>
          <t>SKÅNE LÄN</t>
        </is>
      </c>
      <c r="G517" t="inlineStr">
        <is>
          <t>OSBY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46299</v>
      </c>
      <c r="F518" t="inlineStr">
        <is>
          <t>SKÅNE LÄN</t>
        </is>
      </c>
      <c r="G518" t="inlineStr">
        <is>
          <t>OSBY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45141</v>
      </c>
      <c r="E519" s="1" t="n">
        <v>46299</v>
      </c>
      <c r="F519" t="inlineStr">
        <is>
          <t>SKÅNE LÄN</t>
        </is>
      </c>
      <c r="G519" t="inlineStr">
        <is>
          <t>OSBY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45093</v>
      </c>
      <c r="E520" s="1" t="n">
        <v>46299</v>
      </c>
      <c r="F520" t="inlineStr">
        <is>
          <t>SKÅNE LÄN</t>
        </is>
      </c>
      <c r="G520" t="inlineStr">
        <is>
          <t>OSBY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46299</v>
      </c>
      <c r="F521" t="inlineStr">
        <is>
          <t>SKÅNE LÄN</t>
        </is>
      </c>
      <c r="G521" t="inlineStr">
        <is>
          <t>OSBY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44603</v>
      </c>
      <c r="E522" s="1" t="n">
        <v>46299</v>
      </c>
      <c r="F522" t="inlineStr">
        <is>
          <t>SKÅNE LÄN</t>
        </is>
      </c>
      <c r="G522" t="inlineStr">
        <is>
          <t>OSBY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45723</v>
      </c>
      <c r="E523" s="1" t="n">
        <v>46299</v>
      </c>
      <c r="F523" t="inlineStr">
        <is>
          <t>SKÅNE LÄN</t>
        </is>
      </c>
      <c r="G523" t="inlineStr">
        <is>
          <t>OSBY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40584-2022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44823</v>
      </c>
      <c r="E524" s="1" t="n">
        <v>46299</v>
      </c>
      <c r="F524" t="inlineStr">
        <is>
          <t>SKÅNE LÄN</t>
        </is>
      </c>
      <c r="G524" t="inlineStr">
        <is>
          <t>OSBY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46299</v>
      </c>
      <c r="F525" t="inlineStr">
        <is>
          <t>SKÅNE LÄN</t>
        </is>
      </c>
      <c r="G525" t="inlineStr">
        <is>
          <t>OSBY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44610</v>
      </c>
      <c r="E526" s="1" t="n">
        <v>46299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69093-2021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46299</v>
      </c>
      <c r="F527" t="inlineStr">
        <is>
          <t>SKÅNE LÄN</t>
        </is>
      </c>
      <c r="G527" t="inlineStr">
        <is>
          <t>OSBY</t>
        </is>
      </c>
      <c r="H527" t="inlineStr">
        <is>
          <t>Kommuner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46299</v>
      </c>
      <c r="F528" t="inlineStr">
        <is>
          <t>SKÅNE LÄN</t>
        </is>
      </c>
      <c r="G528" t="inlineStr">
        <is>
          <t>OSBY</t>
        </is>
      </c>
      <c r="H528" t="inlineStr">
        <is>
          <t>Kommuner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45255</v>
      </c>
      <c r="E529" s="1" t="n">
        <v>46299</v>
      </c>
      <c r="F529" t="inlineStr">
        <is>
          <t>SKÅNE LÄN</t>
        </is>
      </c>
      <c r="G529" t="inlineStr">
        <is>
          <t>OSBY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46299</v>
      </c>
      <c r="F530" t="inlineStr">
        <is>
          <t>SKÅNE LÄN</t>
        </is>
      </c>
      <c r="G530" t="inlineStr">
        <is>
          <t>OSBY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45537</v>
      </c>
      <c r="E531" s="1" t="n">
        <v>46299</v>
      </c>
      <c r="F531" t="inlineStr">
        <is>
          <t>SKÅNE LÄN</t>
        </is>
      </c>
      <c r="G531" t="inlineStr">
        <is>
          <t>OSBY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44804</v>
      </c>
      <c r="E532" s="1" t="n">
        <v>46299</v>
      </c>
      <c r="F532" t="inlineStr">
        <is>
          <t>SKÅNE LÄN</t>
        </is>
      </c>
      <c r="G532" t="inlineStr">
        <is>
          <t>OSBY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45342</v>
      </c>
      <c r="E533" s="1" t="n">
        <v>46299</v>
      </c>
      <c r="F533" t="inlineStr">
        <is>
          <t>SKÅNE LÄN</t>
        </is>
      </c>
      <c r="G533" t="inlineStr">
        <is>
          <t>OSBY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46299</v>
      </c>
      <c r="F534" t="inlineStr">
        <is>
          <t>SKÅNE LÄN</t>
        </is>
      </c>
      <c r="G534" t="inlineStr">
        <is>
          <t>OSBY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46299</v>
      </c>
      <c r="F535" t="inlineStr">
        <is>
          <t>SKÅNE LÄN</t>
        </is>
      </c>
      <c r="G535" t="inlineStr">
        <is>
          <t>OSBY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46299</v>
      </c>
      <c r="F536" t="inlineStr">
        <is>
          <t>SKÅNE LÄN</t>
        </is>
      </c>
      <c r="G536" t="inlineStr">
        <is>
          <t>OSBY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45422</v>
      </c>
      <c r="E537" s="1" t="n">
        <v>46299</v>
      </c>
      <c r="F537" t="inlineStr">
        <is>
          <t>SKÅNE LÄN</t>
        </is>
      </c>
      <c r="G537" t="inlineStr">
        <is>
          <t>OSBY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17537-2022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44679</v>
      </c>
      <c r="E538" s="1" t="n">
        <v>46299</v>
      </c>
      <c r="F538" t="inlineStr">
        <is>
          <t>SKÅNE LÄN</t>
        </is>
      </c>
      <c r="G538" t="inlineStr">
        <is>
          <t>OSBY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46299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46299</v>
      </c>
      <c r="F540" t="inlineStr">
        <is>
          <t>SKÅNE LÄN</t>
        </is>
      </c>
      <c r="G540" t="inlineStr">
        <is>
          <t>OSBY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46299</v>
      </c>
      <c r="F541" t="inlineStr">
        <is>
          <t>SKÅNE LÄN</t>
        </is>
      </c>
      <c r="G541" t="inlineStr">
        <is>
          <t>OSBY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46299</v>
      </c>
      <c r="F542" t="inlineStr">
        <is>
          <t>SKÅNE LÄN</t>
        </is>
      </c>
      <c r="G542" t="inlineStr">
        <is>
          <t>OSBY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45255</v>
      </c>
      <c r="E543" s="1" t="n">
        <v>46299</v>
      </c>
      <c r="F543" t="inlineStr">
        <is>
          <t>SKÅNE LÄN</t>
        </is>
      </c>
      <c r="G543" t="inlineStr">
        <is>
          <t>OSBY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46299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46299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44957</v>
      </c>
      <c r="E546" s="1" t="n">
        <v>46299</v>
      </c>
      <c r="F546" t="inlineStr">
        <is>
          <t>SKÅNE LÄN</t>
        </is>
      </c>
      <c r="G546" t="inlineStr">
        <is>
          <t>OSBY</t>
        </is>
      </c>
      <c r="I546" t="n">
        <v>9.199999999999999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45265</v>
      </c>
      <c r="E547" s="1" t="n">
        <v>46299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46299</v>
      </c>
      <c r="F548" t="inlineStr">
        <is>
          <t>SKÅNE LÄN</t>
        </is>
      </c>
      <c r="G548" t="inlineStr">
        <is>
          <t>OSBY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46299</v>
      </c>
      <c r="F549" t="inlineStr">
        <is>
          <t>SKÅNE LÄN</t>
        </is>
      </c>
      <c r="G549" t="inlineStr">
        <is>
          <t>OSBY</t>
        </is>
      </c>
      <c r="I549" t="n">
        <v>11.3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46299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45782</v>
      </c>
      <c r="E551" s="1" t="n">
        <v>46299</v>
      </c>
      <c r="F551" t="inlineStr">
        <is>
          <t>SKÅNE LÄN</t>
        </is>
      </c>
      <c r="G551" t="inlineStr">
        <is>
          <t>OSBY</t>
        </is>
      </c>
      <c r="I551" t="n">
        <v>15.1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46299</v>
      </c>
      <c r="F552" t="inlineStr">
        <is>
          <t>SKÅNE LÄN</t>
        </is>
      </c>
      <c r="G552" t="inlineStr">
        <is>
          <t>OSBY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45518</v>
      </c>
      <c r="E553" s="1" t="n">
        <v>46299</v>
      </c>
      <c r="F553" t="inlineStr">
        <is>
          <t>SKÅNE LÄN</t>
        </is>
      </c>
      <c r="G553" t="inlineStr">
        <is>
          <t>OSBY</t>
        </is>
      </c>
      <c r="H553" t="inlineStr">
        <is>
          <t>Naturvårdsverket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46299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46299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46299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46299</v>
      </c>
      <c r="F557" t="inlineStr">
        <is>
          <t>SKÅNE LÄN</t>
        </is>
      </c>
      <c r="G557" t="inlineStr">
        <is>
          <t>OSBY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5546-2022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44837</v>
      </c>
      <c r="E558" s="1" t="n">
        <v>46299</v>
      </c>
      <c r="F558" t="inlineStr">
        <is>
          <t>SKÅNE LÄN</t>
        </is>
      </c>
      <c r="G558" t="inlineStr">
        <is>
          <t>OSBY</t>
        </is>
      </c>
      <c r="I558" t="n">
        <v>20.9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4342-2023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45264</v>
      </c>
      <c r="E559" s="1" t="n">
        <v>46299</v>
      </c>
      <c r="F559" t="inlineStr">
        <is>
          <t>SKÅNE LÄN</t>
        </is>
      </c>
      <c r="G559" t="inlineStr">
        <is>
          <t>OSBY</t>
        </is>
      </c>
      <c r="I559" t="n">
        <v>21.2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1261-2024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45400</v>
      </c>
      <c r="E560" s="1" t="n">
        <v>46299</v>
      </c>
      <c r="F560" t="inlineStr">
        <is>
          <t>SKÅNE LÄN</t>
        </is>
      </c>
      <c r="G560" t="inlineStr">
        <is>
          <t>OSBY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731-2024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45365</v>
      </c>
      <c r="E561" s="1" t="n">
        <v>46299</v>
      </c>
      <c r="F561" t="inlineStr">
        <is>
          <t>SKÅNE LÄN</t>
        </is>
      </c>
      <c r="G561" t="inlineStr">
        <is>
          <t>OSBY</t>
        </is>
      </c>
      <c r="I561" t="n">
        <v>15.3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4466-2023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45272</v>
      </c>
      <c r="E562" s="1" t="n">
        <v>46299</v>
      </c>
      <c r="F562" t="inlineStr">
        <is>
          <t>SKÅNE LÄN</t>
        </is>
      </c>
      <c r="G562" t="inlineStr">
        <is>
          <t>OSBY</t>
        </is>
      </c>
      <c r="I562" t="n">
        <v>28.5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4916-2024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45622</v>
      </c>
      <c r="E563" s="1" t="n">
        <v>46299</v>
      </c>
      <c r="F563" t="inlineStr">
        <is>
          <t>SKÅNE LÄN</t>
        </is>
      </c>
      <c r="G563" t="inlineStr">
        <is>
          <t>OSBY</t>
        </is>
      </c>
      <c r="I563" t="n">
        <v>30.9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4775-2022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46299</v>
      </c>
      <c r="F564" t="inlineStr">
        <is>
          <t>SKÅNE LÄN</t>
        </is>
      </c>
      <c r="G564" t="inlineStr">
        <is>
          <t>OSBY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46299</v>
      </c>
      <c r="F565" t="inlineStr">
        <is>
          <t>SKÅNE LÄN</t>
        </is>
      </c>
      <c r="G565" t="inlineStr">
        <is>
          <t>OSBY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5209-2022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44820</v>
      </c>
      <c r="E566" s="1" t="n">
        <v>46299</v>
      </c>
      <c r="F566" t="inlineStr">
        <is>
          <t>SKÅNE LÄN</t>
        </is>
      </c>
      <c r="G566" t="inlineStr">
        <is>
          <t>OSBY</t>
        </is>
      </c>
      <c r="I566" t="n">
        <v>55.8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3116-2023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45182</v>
      </c>
      <c r="E567" s="1" t="n">
        <v>46299</v>
      </c>
      <c r="F567" t="inlineStr">
        <is>
          <t>SKÅNE LÄN</t>
        </is>
      </c>
      <c r="G567" t="inlineStr">
        <is>
          <t>OSBY</t>
        </is>
      </c>
      <c r="I567" t="n">
        <v>35.3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4901-2022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44806</v>
      </c>
      <c r="E568" s="1" t="n">
        <v>46299</v>
      </c>
      <c r="F568" t="inlineStr">
        <is>
          <t>SKÅNE LÄN</t>
        </is>
      </c>
      <c r="G568" t="inlineStr">
        <is>
          <t>OSBY</t>
        </is>
      </c>
      <c r="I568" t="n">
        <v>18.5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2068-2024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45453</v>
      </c>
      <c r="E569" s="1" t="n">
        <v>46299</v>
      </c>
      <c r="F569" t="inlineStr">
        <is>
          <t>SKÅNE LÄN</t>
        </is>
      </c>
      <c r="G569" t="inlineStr">
        <is>
          <t>OSBY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44952</v>
      </c>
      <c r="E570" s="1" t="n">
        <v>46299</v>
      </c>
      <c r="F570" t="inlineStr">
        <is>
          <t>SKÅNE LÄN</t>
        </is>
      </c>
      <c r="G570" t="inlineStr">
        <is>
          <t>OSBY</t>
        </is>
      </c>
      <c r="I570" t="n">
        <v>23.5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7874-2021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44482</v>
      </c>
      <c r="E571" s="1" t="n">
        <v>46299</v>
      </c>
      <c r="F571" t="inlineStr">
        <is>
          <t>SKÅNE LÄN</t>
        </is>
      </c>
      <c r="G571" t="inlineStr">
        <is>
          <t>OSBY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2418-2023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45124</v>
      </c>
      <c r="E572" s="1" t="n">
        <v>46299</v>
      </c>
      <c r="F572" t="inlineStr">
        <is>
          <t>SKÅNE LÄN</t>
        </is>
      </c>
      <c r="G572" t="inlineStr">
        <is>
          <t>OSBY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566-2024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45350</v>
      </c>
      <c r="E573" s="1" t="n">
        <v>46299</v>
      </c>
      <c r="F573" t="inlineStr">
        <is>
          <t>SKÅNE LÄN</t>
        </is>
      </c>
      <c r="G573" t="inlineStr">
        <is>
          <t>OSBY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798-2024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45370</v>
      </c>
      <c r="E574" s="1" t="n">
        <v>46299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46299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46299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1439-2022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44635</v>
      </c>
      <c r="E577" s="1" t="n">
        <v>46299</v>
      </c>
      <c r="F577" t="inlineStr">
        <is>
          <t>SKÅNE LÄN</t>
        </is>
      </c>
      <c r="G577" t="inlineStr">
        <is>
          <t>OSBY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976-2023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45005</v>
      </c>
      <c r="E578" s="1" t="n">
        <v>46299</v>
      </c>
      <c r="F578" t="inlineStr">
        <is>
          <t>SKÅNE LÄN</t>
        </is>
      </c>
      <c r="G578" t="inlineStr">
        <is>
          <t>OSBY</t>
        </is>
      </c>
      <c r="I578" t="n">
        <v>42.6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3083-2022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44719</v>
      </c>
      <c r="E579" s="1" t="n">
        <v>46299</v>
      </c>
      <c r="F579" t="inlineStr">
        <is>
          <t>SKÅNE LÄN</t>
        </is>
      </c>
      <c r="G579" t="inlineStr">
        <is>
          <t>OSBY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129-2023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44938</v>
      </c>
      <c r="E580" s="1" t="n">
        <v>46299</v>
      </c>
      <c r="F580" t="inlineStr">
        <is>
          <t>SKÅNE LÄN</t>
        </is>
      </c>
      <c r="G580" t="inlineStr">
        <is>
          <t>OSBY</t>
        </is>
      </c>
      <c r="I580" t="n">
        <v>29.6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3280-2023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45194</v>
      </c>
      <c r="E581" s="1" t="n">
        <v>46299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4864-2022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44805</v>
      </c>
      <c r="E582" s="1" t="n">
        <v>46299</v>
      </c>
      <c r="F582" t="inlineStr">
        <is>
          <t>SKÅNE LÄN</t>
        </is>
      </c>
      <c r="G582" t="inlineStr">
        <is>
          <t>OSBY</t>
        </is>
      </c>
      <c r="I582" t="n">
        <v>22.1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6862-2022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44896</v>
      </c>
      <c r="E583" s="1" t="n">
        <v>46299</v>
      </c>
      <c r="F583" t="inlineStr">
        <is>
          <t>SKÅNE LÄN</t>
        </is>
      </c>
      <c r="G583" t="inlineStr">
        <is>
          <t>OSBY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1209-2022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44622</v>
      </c>
      <c r="E584" s="1" t="n">
        <v>46299</v>
      </c>
      <c r="F584" t="inlineStr">
        <is>
          <t>SKÅNE LÄN</t>
        </is>
      </c>
      <c r="G584" t="inlineStr">
        <is>
          <t>OSBY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5175-2024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45652</v>
      </c>
      <c r="E585" s="1" t="n">
        <v>46299</v>
      </c>
      <c r="F585" t="inlineStr">
        <is>
          <t>SKÅNE LÄN</t>
        </is>
      </c>
      <c r="G585" t="inlineStr">
        <is>
          <t>OSBY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884-2025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45735</v>
      </c>
      <c r="E586" s="1" t="n">
        <v>46299</v>
      </c>
      <c r="F586" t="inlineStr">
        <is>
          <t>SKÅNE LÄN</t>
        </is>
      </c>
      <c r="G586" t="inlineStr">
        <is>
          <t>OSBY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910-2025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45737</v>
      </c>
      <c r="E587" s="1" t="n">
        <v>46299</v>
      </c>
      <c r="F587" t="inlineStr">
        <is>
          <t>SKÅNE LÄN</t>
        </is>
      </c>
      <c r="G587" t="inlineStr">
        <is>
          <t>OSBY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2812-2025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45939</v>
      </c>
      <c r="E588" s="1" t="n">
        <v>46299</v>
      </c>
      <c r="F588" t="inlineStr">
        <is>
          <t>SKÅNE LÄN</t>
        </is>
      </c>
      <c r="G588" t="inlineStr">
        <is>
          <t>OSBY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2813-2025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46299</v>
      </c>
      <c r="F589" t="inlineStr">
        <is>
          <t>SKÅNE LÄN</t>
        </is>
      </c>
      <c r="G589" t="inlineStr">
        <is>
          <t>OSBY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3221-2025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45980</v>
      </c>
      <c r="E590" s="1" t="n">
        <v>46299</v>
      </c>
      <c r="F590" t="inlineStr">
        <is>
          <t>SKÅNE LÄN</t>
        </is>
      </c>
      <c r="G590" t="inlineStr">
        <is>
          <t>OSBY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46030</v>
      </c>
      <c r="E591" s="1" t="n">
        <v>46299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222-2026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46049</v>
      </c>
      <c r="E592" s="1" t="n">
        <v>46299</v>
      </c>
      <c r="F592" t="inlineStr">
        <is>
          <t>SKÅNE LÄN</t>
        </is>
      </c>
      <c r="G592" t="inlineStr">
        <is>
          <t>OSBY</t>
        </is>
      </c>
      <c r="I592" t="n">
        <v>26.8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815-2026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46104</v>
      </c>
      <c r="E593" s="1" t="n">
        <v>46299</v>
      </c>
      <c r="F593" t="inlineStr">
        <is>
          <t>SKÅNE LÄN</t>
        </is>
      </c>
      <c r="G593" t="inlineStr">
        <is>
          <t>OSBY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46134</v>
      </c>
      <c r="E594" s="1" t="n">
        <v>46299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1126-2026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46299</v>
      </c>
      <c r="F595" t="inlineStr">
        <is>
          <t>SKÅNE LÄN</t>
        </is>
      </c>
      <c r="G595" t="inlineStr">
        <is>
          <t>OSBY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2026-10-04T01:56:59Z</dcterms:modified>
</cp:coreProperties>
</file>