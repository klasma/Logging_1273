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4405-2024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45589</v>
      </c>
      <c r="E2" s="1" t="n">
        <v>46321</v>
      </c>
      <c r="F2" t="inlineStr">
        <is>
          <t>SKÅNE LÄN</t>
        </is>
      </c>
      <c r="G2" t="inlineStr">
        <is>
          <t>OSBY</t>
        </is>
      </c>
      <c r="I2" t="n">
        <v>17</v>
      </c>
      <c r="J2" t="n">
        <v>0</v>
      </c>
      <c r="K2" t="n">
        <v>6</v>
      </c>
      <c r="L2" t="n">
        <v>5</v>
      </c>
      <c r="M2" t="n">
        <v>5</v>
      </c>
      <c r="N2" t="n">
        <v>1</v>
      </c>
      <c r="O2" t="n">
        <v>0</v>
      </c>
      <c r="P2" t="n">
        <v>0</v>
      </c>
      <c r="Q2" t="n">
        <v>11</v>
      </c>
      <c r="R2" t="n">
        <v>6</v>
      </c>
      <c r="S2" t="n">
        <v>17</v>
      </c>
      <c r="T2" t="n">
        <v>26</v>
      </c>
      <c r="U2" t="n">
        <v>0</v>
      </c>
      <c r="V2" s="2" t="inlineStr">
        <is>
          <t>Savlundlav
Blek kraterlav
Kortskaftad parasitspik
Rosa lundlav
Ädelkronlav
Ädellav
Bokkantlav
Bokvårtlav
Lunglav
Parasitsotlav
Violettgrå porlav
Barkkornlav
Bokfjädermossa
Fällmossa
Havstulpanlav
Klippfrullania
Platt fjädermossa</t>
        </is>
      </c>
      <c r="W2">
        <f>HYPERLINK("https://klasma.github.io/Logging_1273/artfynd/S 4405-2024 artfynd.xlsx", "S 4405-2024")</f>
        <v/>
      </c>
      <c r="X2">
        <f>HYPERLINK("https://klasma.github.io/Logging_1273/kartor/S 4405-2024 karta.png", "S 4405-2024")</f>
        <v/>
      </c>
      <c r="Y2">
        <f>HYPERLINK("https://klasma.github.io/Logging_1273/kartor_geotiff/S 4405-2024 georefererad karta.tif", "S 4405-2024")</f>
        <v/>
      </c>
      <c r="AA2">
        <f>HYPERLINK("https://klasma.github.io/Logging_1273/klagomål/S 4405-2024 FSC-klagomål.docx", "S 4405-2024")</f>
        <v/>
      </c>
      <c r="AB2">
        <f>HYPERLINK("https://klasma.github.io/Logging_1273/klagomålsmail/S 4405-2024 FSC-klagomål mail.docx", "S 4405-2024")</f>
        <v/>
      </c>
      <c r="AC2">
        <f>HYPERLINK("https://klasma.github.io/Logging_1273/tillsyn/S 4405-2024 tillsynsbegäran.docx", "S 4405-2024")</f>
        <v/>
      </c>
      <c r="AD2">
        <f>HYPERLINK("https://klasma.github.io/Logging_1273/tillsynsmail/S 4405-2024 tillsynsbegäran mail.docx", "S 4405-2024")</f>
        <v/>
      </c>
    </row>
    <row r="3" ht="15" customHeight="1">
      <c r="A3" t="inlineStr">
        <is>
          <t>S 28-2026</t>
        </is>
      </c>
      <c r="B3" t="inlineStr">
        <is>
          <t>samrådsanmälan</t>
        </is>
      </c>
      <c r="C3" t="inlineStr">
        <is>
          <t>Askåterföring</t>
        </is>
      </c>
      <c r="D3" s="1" t="n">
        <v>46030</v>
      </c>
      <c r="E3" s="1" t="n">
        <v>46321</v>
      </c>
      <c r="F3" t="inlineStr">
        <is>
          <t>SKÅNE LÄN</t>
        </is>
      </c>
      <c r="G3" t="inlineStr">
        <is>
          <t>OSBY</t>
        </is>
      </c>
      <c r="I3" t="n">
        <v>100.4</v>
      </c>
      <c r="J3" t="n">
        <v>11</v>
      </c>
      <c r="K3" t="n">
        <v>1</v>
      </c>
      <c r="L3" t="n">
        <v>4</v>
      </c>
      <c r="M3" t="n">
        <v>1</v>
      </c>
      <c r="N3" t="n">
        <v>0</v>
      </c>
      <c r="O3" t="n">
        <v>0</v>
      </c>
      <c r="P3" t="n">
        <v>0</v>
      </c>
      <c r="Q3" t="n">
        <v>5</v>
      </c>
      <c r="R3" t="n">
        <v>1</v>
      </c>
      <c r="S3" t="n">
        <v>12</v>
      </c>
      <c r="T3" t="n">
        <v>105</v>
      </c>
      <c r="U3" t="n">
        <v>0</v>
      </c>
      <c r="V3" s="2" t="inlineStr">
        <is>
          <t>Grönfink
Entita
Järnsparv
Sädesärla
Talltita
Blåmossa
Spillkråka
Grönsiska
Kråka
Kungsfågel
Svartvit flugsnappare
Ärtsångare</t>
        </is>
      </c>
      <c r="W3">
        <f>HYPERLINK("https://klasma.github.io/Logging_1273/artfynd/S 28-2026 artfynd.xlsx", "S 28-2026")</f>
        <v/>
      </c>
      <c r="X3">
        <f>HYPERLINK("https://klasma.github.io/Logging_1273/kartor/S 28-2026 karta.png", "S 28-2026")</f>
        <v/>
      </c>
      <c r="Y3">
        <f>HYPERLINK("https://klasma.github.io/Logging_1273/kartor_geotiff/S 28-2026 georefererad karta.tif", "S 28-2026")</f>
        <v/>
      </c>
      <c r="AA3">
        <f>HYPERLINK("https://klasma.github.io/Logging_1273/klagomål/S 28-2026 FSC-klagomål.docx", "S 28-2026")</f>
        <v/>
      </c>
      <c r="AB3">
        <f>HYPERLINK("https://klasma.github.io/Logging_1273/klagomålsmail/S 28-2026 FSC-klagomål mail.docx", "S 28-2026")</f>
        <v/>
      </c>
      <c r="AC3">
        <f>HYPERLINK("https://klasma.github.io/Logging_1273/tillsyn/S 28-2026 tillsynsbegäran.docx", "S 28-2026")</f>
        <v/>
      </c>
      <c r="AD3">
        <f>HYPERLINK("https://klasma.github.io/Logging_1273/tillsynsmail/S 28-2026 tillsynsbegäran mail.docx", "S 28-2026")</f>
        <v/>
      </c>
      <c r="AE3">
        <f>HYPERLINK("https://klasma.github.io/Logging_1273/fåglar/S 28-2026 prioriterade fågelarter.docx", "S 28-2026")</f>
        <v/>
      </c>
    </row>
    <row r="4" ht="15" customHeight="1">
      <c r="A4" t="inlineStr">
        <is>
          <t>S 1130-2026</t>
        </is>
      </c>
      <c r="B4" t="inlineStr">
        <is>
          <t>samrådsanmälan</t>
        </is>
      </c>
      <c r="C4" t="inlineStr">
        <is>
          <t>Askåterföring</t>
        </is>
      </c>
      <c r="D4" s="1" t="n">
        <v>46134</v>
      </c>
      <c r="E4" s="1" t="n">
        <v>46321</v>
      </c>
      <c r="F4" t="inlineStr">
        <is>
          <t>SKÅNE LÄN</t>
        </is>
      </c>
      <c r="G4" t="inlineStr">
        <is>
          <t>OSBY</t>
        </is>
      </c>
      <c r="I4" t="n">
        <v>78.09999999999999</v>
      </c>
      <c r="J4" t="n">
        <v>6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9</v>
      </c>
      <c r="T4" t="n">
        <v>13</v>
      </c>
      <c r="U4" t="n">
        <v>0</v>
      </c>
      <c r="V4" s="2" t="inlineStr">
        <is>
          <t>Gulsparv
Järnsparv
Talltita
Bårdlav
Fällmossa
Västlig hakmossa
Mattlummer
Spillkråka
Kungsfågel</t>
        </is>
      </c>
      <c r="W4">
        <f>HYPERLINK("https://klasma.github.io/Logging_1273/artfynd/S 1130-2026 artfynd.xlsx", "S 1130-2026")</f>
        <v/>
      </c>
      <c r="X4">
        <f>HYPERLINK("https://klasma.github.io/Logging_1273/kartor/S 1130-2026 karta.png", "S 1130-2026")</f>
        <v/>
      </c>
      <c r="Y4">
        <f>HYPERLINK("https://klasma.github.io/Logging_1273/kartor_geotiff/S 1130-2026 georefererad karta.tif", "S 1130-2026")</f>
        <v/>
      </c>
      <c r="AA4">
        <f>HYPERLINK("https://klasma.github.io/Logging_1273/klagomål/S 1130-2026 FSC-klagomål.docx", "S 1130-2026")</f>
        <v/>
      </c>
      <c r="AB4">
        <f>HYPERLINK("https://klasma.github.io/Logging_1273/klagomålsmail/S 1130-2026 FSC-klagomål mail.docx", "S 1130-2026")</f>
        <v/>
      </c>
      <c r="AC4">
        <f>HYPERLINK("https://klasma.github.io/Logging_1273/tillsyn/S 1130-2026 tillsynsbegäran.docx", "S 1130-2026")</f>
        <v/>
      </c>
      <c r="AD4">
        <f>HYPERLINK("https://klasma.github.io/Logging_1273/tillsynsmail/S 1130-2026 tillsynsbegäran mail.docx", "S 1130-2026")</f>
        <v/>
      </c>
      <c r="AE4">
        <f>HYPERLINK("https://klasma.github.io/Logging_1273/fåglar/S 1130-2026 prioriterade fågelarter.docx", "S 1130-2026")</f>
        <v/>
      </c>
    </row>
    <row r="5" ht="15" customHeight="1">
      <c r="A5" t="inlineStr">
        <is>
          <t>S 3028-2023</t>
        </is>
      </c>
      <c r="B5" t="inlineStr">
        <is>
          <t>samrådsanmälan</t>
        </is>
      </c>
      <c r="C5" t="inlineStr">
        <is>
          <t>Askåterföring</t>
        </is>
      </c>
      <c r="D5" s="1" t="n">
        <v>45177</v>
      </c>
      <c r="E5" s="1" t="n">
        <v>46321</v>
      </c>
      <c r="F5" t="inlineStr">
        <is>
          <t>SKÅNE LÄN</t>
        </is>
      </c>
      <c r="G5" t="inlineStr">
        <is>
          <t>OSBY</t>
        </is>
      </c>
      <c r="H5" t="inlineStr">
        <is>
          <t>Kommuner</t>
        </is>
      </c>
      <c r="I5" t="n">
        <v>80.3</v>
      </c>
      <c r="J5" t="n">
        <v>7</v>
      </c>
      <c r="K5" t="n">
        <v>0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4</v>
      </c>
      <c r="R5" t="n">
        <v>1</v>
      </c>
      <c r="S5" t="n">
        <v>8</v>
      </c>
      <c r="T5" t="n">
        <v>8</v>
      </c>
      <c r="U5" t="n">
        <v>7</v>
      </c>
      <c r="V5" s="2" t="inlineStr">
        <is>
          <t>Dvärglin
Barbastell
Nordfladdermus
Talltita
Dvärgpipistrell
Havsörn
Trollpipistrell
Vattenfladdermus</t>
        </is>
      </c>
      <c r="W5">
        <f>HYPERLINK("https://klasma.github.io/Logging_1273/artfynd/S 3028-2023 artfynd.xlsx", "S 3028-2023")</f>
        <v/>
      </c>
      <c r="X5">
        <f>HYPERLINK("https://klasma.github.io/Logging_1273/kartor/S 3028-2023 karta.png", "S 3028-2023")</f>
        <v/>
      </c>
      <c r="Y5">
        <f>HYPERLINK("https://klasma.github.io/Logging_1273/kartor_geotiff/S 3028-2023 georefererad karta.tif", "S 3028-2023")</f>
        <v/>
      </c>
      <c r="AA5">
        <f>HYPERLINK("https://klasma.github.io/Logging_1273/klagomål/S 3028-2023 FSC-klagomål.docx", "S 3028-2023")</f>
        <v/>
      </c>
      <c r="AB5">
        <f>HYPERLINK("https://klasma.github.io/Logging_1273/klagomålsmail/S 3028-2023 FSC-klagomål mail.docx", "S 3028-2023")</f>
        <v/>
      </c>
      <c r="AC5">
        <f>HYPERLINK("https://klasma.github.io/Logging_1273/tillsyn/S 3028-2023 tillsynsbegäran.docx", "S 3028-2023")</f>
        <v/>
      </c>
      <c r="AD5">
        <f>HYPERLINK("https://klasma.github.io/Logging_1273/tillsynsmail/S 3028-2023 tillsynsbegäran mail.docx", "S 3028-2023")</f>
        <v/>
      </c>
      <c r="AE5">
        <f>HYPERLINK("https://klasma.github.io/Logging_1273/fåglar/S 3028-2023 prioriterade fågelarter.docx", "S 3028-2023")</f>
        <v/>
      </c>
    </row>
    <row r="6" ht="15" customHeight="1">
      <c r="A6" t="inlineStr">
        <is>
          <t>A 34184-2025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45844</v>
      </c>
      <c r="E6" s="1" t="n">
        <v>46321</v>
      </c>
      <c r="F6" t="inlineStr">
        <is>
          <t>SKÅNE LÄN</t>
        </is>
      </c>
      <c r="G6" t="inlineStr">
        <is>
          <t>OSBY</t>
        </is>
      </c>
      <c r="H6" t="inlineStr">
        <is>
          <t>Naturvårdsverket</t>
        </is>
      </c>
      <c r="I6" t="n">
        <v>12.4</v>
      </c>
      <c r="J6" t="n">
        <v>4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6</v>
      </c>
      <c r="T6" t="n">
        <v>18</v>
      </c>
      <c r="U6" t="n">
        <v>17</v>
      </c>
      <c r="V6" s="2" t="inlineStr">
        <is>
          <t>Entita
Skogshare
Talltita
Blåmossa
Spillkråka
Kungsfågel</t>
        </is>
      </c>
      <c r="W6">
        <f>HYPERLINK("https://klasma.github.io/Logging_1273/artfynd/A 34184-2025 artfynd.xlsx", "A 34184-2025")</f>
        <v/>
      </c>
      <c r="X6">
        <f>HYPERLINK("https://klasma.github.io/Logging_1273/kartor/A 34184-2025 karta.png", "A 34184-2025")</f>
        <v/>
      </c>
      <c r="Y6">
        <f>HYPERLINK("https://klasma.github.io/Logging_1273/kartor_geotiff/A 34184-2025 georefererad karta.tif", "A 34184-2025")</f>
        <v/>
      </c>
      <c r="AA6">
        <f>HYPERLINK("https://klasma.github.io/Logging_1273/klagomål/A 34184-2025 FSC-klagomål.docx", "A 34184-2025")</f>
        <v/>
      </c>
      <c r="AB6">
        <f>HYPERLINK("https://klasma.github.io/Logging_1273/klagomålsmail/A 34184-2025 FSC-klagomål mail.docx", "A 34184-2025")</f>
        <v/>
      </c>
      <c r="AC6">
        <f>HYPERLINK("https://klasma.github.io/Logging_1273/tillsyn/A 34184-2025 tillsynsbegäran.docx", "A 34184-2025")</f>
        <v/>
      </c>
      <c r="AD6">
        <f>HYPERLINK("https://klasma.github.io/Logging_1273/tillsynsmail/A 34184-2025 tillsynsbegäran mail.docx", "A 34184-2025")</f>
        <v/>
      </c>
      <c r="AE6">
        <f>HYPERLINK("https://klasma.github.io/Logging_1273/fåglar/A 34184-2025 prioriterade fågelarter.docx", "A 34184-2025")</f>
        <v/>
      </c>
    </row>
    <row r="7" ht="15" customHeight="1">
      <c r="A7" t="inlineStr">
        <is>
          <t>A 35901-2022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44802</v>
      </c>
      <c r="E7" s="1" t="n">
        <v>46321</v>
      </c>
      <c r="F7" t="inlineStr">
        <is>
          <t>SKÅNE LÄN</t>
        </is>
      </c>
      <c r="G7" t="inlineStr">
        <is>
          <t>OSBY</t>
        </is>
      </c>
      <c r="H7" t="inlineStr">
        <is>
          <t>Kyrkan</t>
        </is>
      </c>
      <c r="I7" t="n">
        <v>7.1</v>
      </c>
      <c r="J7" t="n">
        <v>0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5</v>
      </c>
      <c r="T7" t="n">
        <v>5</v>
      </c>
      <c r="U7" t="n">
        <v>5</v>
      </c>
      <c r="V7" s="2" t="inlineStr">
        <is>
          <t>Liten lundlav
Spinnfingersvamp
Havstulpanlav
Platt fjädermossa
Trädporella</t>
        </is>
      </c>
      <c r="W7">
        <f>HYPERLINK("https://klasma.github.io/Logging_1273/artfynd/A 35901-2022 artfynd.xlsx", "A 35901-2022")</f>
        <v/>
      </c>
      <c r="X7">
        <f>HYPERLINK("https://klasma.github.io/Logging_1273/kartor/A 35901-2022 karta.png", "A 35901-2022")</f>
        <v/>
      </c>
      <c r="Y7">
        <f>HYPERLINK("https://klasma.github.io/Logging_1273/kartor_geotiff/A 35901-2022 georefererad karta.tif", "A 35901-2022")</f>
        <v/>
      </c>
      <c r="AA7">
        <f>HYPERLINK("https://klasma.github.io/Logging_1273/klagomål/A 35901-2022 FSC-klagomål.docx", "A 35901-2022")</f>
        <v/>
      </c>
      <c r="AB7">
        <f>HYPERLINK("https://klasma.github.io/Logging_1273/klagomålsmail/A 35901-2022 FSC-klagomål mail.docx", "A 35901-2022")</f>
        <v/>
      </c>
      <c r="AC7">
        <f>HYPERLINK("https://klasma.github.io/Logging_1273/tillsyn/A 35901-2022 tillsynsbegäran.docx", "A 35901-2022")</f>
        <v/>
      </c>
      <c r="AD7">
        <f>HYPERLINK("https://klasma.github.io/Logging_1273/tillsynsmail/A 35901-2022 tillsynsbegäran mail.docx", "A 35901-2022")</f>
        <v/>
      </c>
    </row>
    <row r="8" ht="15" customHeight="1">
      <c r="A8" t="inlineStr">
        <is>
          <t>A 44173-2026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46318</v>
      </c>
      <c r="E8" s="1" t="n">
        <v>46321</v>
      </c>
      <c r="F8" t="inlineStr">
        <is>
          <t>SKÅNE LÄN</t>
        </is>
      </c>
      <c r="G8" t="inlineStr">
        <is>
          <t>OSBY</t>
        </is>
      </c>
      <c r="I8" t="n">
        <v>4.2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5</v>
      </c>
      <c r="T8" t="n">
        <v>5</v>
      </c>
      <c r="U8" t="n">
        <v>0</v>
      </c>
      <c r="V8" s="2" t="inlineStr">
        <is>
          <t>Gransotdyna
Grönhjon
Blåmossa
Bronshjon
Stor revmossa</t>
        </is>
      </c>
      <c r="W8">
        <f>HYPERLINK("https://klasma.github.io/Logging_1273/artfynd/A 44173-2026 artfynd.xlsx", "A 44173-2026")</f>
        <v/>
      </c>
      <c r="X8">
        <f>HYPERLINK("https://klasma.github.io/Logging_1273/kartor/A 44173-2026 karta.png", "A 44173-2026")</f>
        <v/>
      </c>
      <c r="Y8">
        <f>HYPERLINK("https://klasma.github.io/Logging_1273/kartor_geotiff/A 44173-2026 georefererad karta.tif", "A 44173-2026")</f>
        <v/>
      </c>
      <c r="AA8">
        <f>HYPERLINK("https://klasma.github.io/Logging_1273/klagomål/A 44173-2026 FSC-klagomål.docx", "A 44173-2026")</f>
        <v/>
      </c>
      <c r="AB8">
        <f>HYPERLINK("https://klasma.github.io/Logging_1273/klagomålsmail/A 44173-2026 FSC-klagomål mail.docx", "A 44173-2026")</f>
        <v/>
      </c>
      <c r="AC8">
        <f>HYPERLINK("https://klasma.github.io/Logging_1273/tillsyn/A 44173-2026 tillsynsbegäran.docx", "A 44173-2026")</f>
        <v/>
      </c>
      <c r="AD8">
        <f>HYPERLINK("https://klasma.github.io/Logging_1273/tillsynsmail/A 44173-2026 tillsynsbegäran mail.docx", "A 44173-2026")</f>
        <v/>
      </c>
    </row>
    <row r="9" ht="15" customHeight="1">
      <c r="A9" t="inlineStr">
        <is>
          <t>S 5311-2022</t>
        </is>
      </c>
      <c r="B9" t="inlineStr">
        <is>
          <t>samrådsanmälan</t>
        </is>
      </c>
      <c r="C9" t="inlineStr">
        <is>
          <t>Askåterföring</t>
        </is>
      </c>
      <c r="D9" s="1" t="n">
        <v>44827</v>
      </c>
      <c r="E9" s="1" t="n">
        <v>46321</v>
      </c>
      <c r="F9" t="inlineStr">
        <is>
          <t>SKÅNE LÄN</t>
        </is>
      </c>
      <c r="G9" t="inlineStr">
        <is>
          <t>OSBY</t>
        </is>
      </c>
      <c r="I9" t="n">
        <v>87.3</v>
      </c>
      <c r="J9" t="n">
        <v>5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5</v>
      </c>
      <c r="T9" t="n">
        <v>9</v>
      </c>
      <c r="U9" t="n">
        <v>2</v>
      </c>
      <c r="V9" s="2" t="inlineStr">
        <is>
          <t>Barbastell
Brunlångöra
Nordfladdermus
Dvärgpipistrell
Gråskimlig fladdermus</t>
        </is>
      </c>
      <c r="W9">
        <f>HYPERLINK("https://klasma.github.io/Logging_1273/artfynd/S 5311-2022 artfynd.xlsx", "S 5311-2022")</f>
        <v/>
      </c>
      <c r="X9">
        <f>HYPERLINK("https://klasma.github.io/Logging_1273/kartor/S 5311-2022 karta.png", "S 5311-2022")</f>
        <v/>
      </c>
      <c r="Y9">
        <f>HYPERLINK("https://klasma.github.io/Logging_1273/kartor_geotiff/S 5311-2022 georefererad karta.tif", "S 5311-2022")</f>
        <v/>
      </c>
      <c r="AA9">
        <f>HYPERLINK("https://klasma.github.io/Logging_1273/klagomål/S 5311-2022 FSC-klagomål.docx", "S 5311-2022")</f>
        <v/>
      </c>
      <c r="AB9">
        <f>HYPERLINK("https://klasma.github.io/Logging_1273/klagomålsmail/S 5311-2022 FSC-klagomål mail.docx", "S 5311-2022")</f>
        <v/>
      </c>
      <c r="AC9">
        <f>HYPERLINK("https://klasma.github.io/Logging_1273/tillsyn/S 5311-2022 tillsynsbegäran.docx", "S 5311-2022")</f>
        <v/>
      </c>
      <c r="AD9">
        <f>HYPERLINK("https://klasma.github.io/Logging_1273/tillsynsmail/S 5311-2022 tillsynsbegäran mail.docx", "S 5311-2022")</f>
        <v/>
      </c>
    </row>
    <row r="10" ht="15" customHeight="1">
      <c r="A10" t="inlineStr">
        <is>
          <t>A 32741-2026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46241</v>
      </c>
      <c r="E10" s="1" t="n">
        <v>46321</v>
      </c>
      <c r="F10" t="inlineStr">
        <is>
          <t>SKÅNE LÄN</t>
        </is>
      </c>
      <c r="G10" t="inlineStr">
        <is>
          <t>OSBY</t>
        </is>
      </c>
      <c r="I10" t="n">
        <v>0.7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21</v>
      </c>
      <c r="U10" t="n">
        <v>0</v>
      </c>
      <c r="V10" s="2" t="inlineStr">
        <is>
          <t>Barkkornlav
Fällmossa
Havstulpanlav
Platt fjädermossa</t>
        </is>
      </c>
      <c r="W10">
        <f>HYPERLINK("https://klasma.github.io/Logging_1273/artfynd/A 32741-2026 artfynd.xlsx", "A 32741-2026")</f>
        <v/>
      </c>
      <c r="X10">
        <f>HYPERLINK("https://klasma.github.io/Logging_1273/kartor/A 32741-2026 karta.png", "A 32741-2026")</f>
        <v/>
      </c>
      <c r="Y10">
        <f>HYPERLINK("https://klasma.github.io/Logging_1273/kartor_geotiff/A 32741-2026 georefererad karta.tif", "A 32741-2026")</f>
        <v/>
      </c>
      <c r="AA10">
        <f>HYPERLINK("https://klasma.github.io/Logging_1273/klagomål/A 32741-2026 FSC-klagomål.docx", "A 32741-2026")</f>
        <v/>
      </c>
      <c r="AB10">
        <f>HYPERLINK("https://klasma.github.io/Logging_1273/klagomålsmail/A 32741-2026 FSC-klagomål mail.docx", "A 32741-2026")</f>
        <v/>
      </c>
      <c r="AC10">
        <f>HYPERLINK("https://klasma.github.io/Logging_1273/tillsyn/A 32741-2026 tillsynsbegäran.docx", "A 32741-2026")</f>
        <v/>
      </c>
      <c r="AD10">
        <f>HYPERLINK("https://klasma.github.io/Logging_1273/tillsynsmail/A 32741-2026 tillsynsbegäran mail.docx", "A 32741-2026")</f>
        <v/>
      </c>
    </row>
    <row r="11" ht="15" customHeight="1">
      <c r="A11" t="inlineStr">
        <is>
          <t>S 1578-2025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45796</v>
      </c>
      <c r="E11" s="1" t="n">
        <v>46321</v>
      </c>
      <c r="F11" t="inlineStr">
        <is>
          <t>SKÅNE LÄN</t>
        </is>
      </c>
      <c r="G11" t="inlineStr">
        <is>
          <t>OSBY</t>
        </is>
      </c>
      <c r="H11" t="inlineStr">
        <is>
          <t>Sveaskog</t>
        </is>
      </c>
      <c r="I11" t="n">
        <v>13.1</v>
      </c>
      <c r="J11" t="n">
        <v>0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4</v>
      </c>
      <c r="T11" t="n">
        <v>5</v>
      </c>
      <c r="U11" t="n">
        <v>5</v>
      </c>
      <c r="V11" s="2" t="inlineStr">
        <is>
          <t>Mjukdån
Sommarfibbla
Åkerkulla
Strutbräken</t>
        </is>
      </c>
      <c r="W11">
        <f>HYPERLINK("https://klasma.github.io/Logging_1273/artfynd/S 1578-2025 artfynd.xlsx", "S 1578-2025")</f>
        <v/>
      </c>
      <c r="X11">
        <f>HYPERLINK("https://klasma.github.io/Logging_1273/kartor/S 1578-2025 karta.png", "S 1578-2025")</f>
        <v/>
      </c>
      <c r="Y11">
        <f>HYPERLINK("https://klasma.github.io/Logging_1273/kartor_geotiff/S 1578-2025 georefererad karta.tif", "S 1578-2025")</f>
        <v/>
      </c>
      <c r="AA11">
        <f>HYPERLINK("https://klasma.github.io/Logging_1273/klagomål/S 1578-2025 FSC-klagomål.docx", "S 1578-2025")</f>
        <v/>
      </c>
      <c r="AB11">
        <f>HYPERLINK("https://klasma.github.io/Logging_1273/klagomålsmail/S 1578-2025 FSC-klagomål mail.docx", "S 1578-2025")</f>
        <v/>
      </c>
      <c r="AC11">
        <f>HYPERLINK("https://klasma.github.io/Logging_1273/tillsyn/S 1578-2025 tillsynsbegäran.docx", "S 1578-2025")</f>
        <v/>
      </c>
      <c r="AD11">
        <f>HYPERLINK("https://klasma.github.io/Logging_1273/tillsynsmail/S 1578-2025 tillsynsbegäran mail.docx", "S 1578-2025")</f>
        <v/>
      </c>
    </row>
    <row r="12" ht="15" customHeight="1">
      <c r="A12" t="inlineStr">
        <is>
          <t>S 29-2026</t>
        </is>
      </c>
      <c r="B12" t="inlineStr">
        <is>
          <t>samrådsanmälan</t>
        </is>
      </c>
      <c r="C12" t="inlineStr">
        <is>
          <t>Askåterföring</t>
        </is>
      </c>
      <c r="D12" s="1" t="n">
        <v>46030</v>
      </c>
      <c r="E12" s="1" t="n">
        <v>46321</v>
      </c>
      <c r="F12" t="inlineStr">
        <is>
          <t>SKÅNE LÄN</t>
        </is>
      </c>
      <c r="G12" t="inlineStr">
        <is>
          <t>OSBY</t>
        </is>
      </c>
      <c r="I12" t="n">
        <v>20.8</v>
      </c>
      <c r="J12" t="n">
        <v>4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4</v>
      </c>
      <c r="U12" t="n">
        <v>0</v>
      </c>
      <c r="V12" s="2" t="inlineStr">
        <is>
          <t>Järnsparv
Gröngöling
Kungsfågel
Svartvit flugsnappare</t>
        </is>
      </c>
      <c r="W12">
        <f>HYPERLINK("https://klasma.github.io/Logging_1273/artfynd/S 29-2026 artfynd.xlsx", "S 29-2026")</f>
        <v/>
      </c>
      <c r="X12">
        <f>HYPERLINK("https://klasma.github.io/Logging_1273/kartor/S 29-2026 karta.png", "S 29-2026")</f>
        <v/>
      </c>
      <c r="Y12">
        <f>HYPERLINK("https://klasma.github.io/Logging_1273/kartor_geotiff/S 29-2026 georefererad karta.tif", "S 29-2026")</f>
        <v/>
      </c>
      <c r="AA12">
        <f>HYPERLINK("https://klasma.github.io/Logging_1273/klagomål/S 29-2026 FSC-klagomål.docx", "S 29-2026")</f>
        <v/>
      </c>
      <c r="AB12">
        <f>HYPERLINK("https://klasma.github.io/Logging_1273/klagomålsmail/S 29-2026 FSC-klagomål mail.docx", "S 29-2026")</f>
        <v/>
      </c>
      <c r="AC12">
        <f>HYPERLINK("https://klasma.github.io/Logging_1273/tillsyn/S 29-2026 tillsynsbegäran.docx", "S 29-2026")</f>
        <v/>
      </c>
      <c r="AD12">
        <f>HYPERLINK("https://klasma.github.io/Logging_1273/tillsynsmail/S 29-2026 tillsynsbegäran mail.docx", "S 29-2026")</f>
        <v/>
      </c>
      <c r="AE12">
        <f>HYPERLINK("https://klasma.github.io/Logging_1273/fåglar/S 29-2026 prioriterade fågelarter.docx", "S 29-2026")</f>
        <v/>
      </c>
    </row>
    <row r="13" ht="15" customHeight="1">
      <c r="A13" t="inlineStr">
        <is>
          <t>S 1129-2026</t>
        </is>
      </c>
      <c r="B13" t="inlineStr">
        <is>
          <t>samrådsanmälan</t>
        </is>
      </c>
      <c r="C13" t="inlineStr">
        <is>
          <t>Askåterföring</t>
        </is>
      </c>
      <c r="D13" s="1" t="n">
        <v>46134</v>
      </c>
      <c r="E13" s="1" t="n">
        <v>46321</v>
      </c>
      <c r="F13" t="inlineStr">
        <is>
          <t>SKÅNE LÄN</t>
        </is>
      </c>
      <c r="G13" t="inlineStr">
        <is>
          <t>OSBY</t>
        </is>
      </c>
      <c r="I13" t="n">
        <v>33.1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6</v>
      </c>
      <c r="U13" t="n">
        <v>0</v>
      </c>
      <c r="V13" s="2" t="inlineStr">
        <is>
          <t>Brunag
Huggorm
Vanlig snok
Revlummer</t>
        </is>
      </c>
      <c r="W13">
        <f>HYPERLINK("https://klasma.github.io/Logging_1273/artfynd/S 1129-2026 artfynd.xlsx", "S 1129-2026")</f>
        <v/>
      </c>
      <c r="X13">
        <f>HYPERLINK("https://klasma.github.io/Logging_1273/kartor/S 1129-2026 karta.png", "S 1129-2026")</f>
        <v/>
      </c>
      <c r="Y13">
        <f>HYPERLINK("https://klasma.github.io/Logging_1273/kartor_geotiff/S 1129-2026 georefererad karta.tif", "S 1129-2026")</f>
        <v/>
      </c>
      <c r="AA13">
        <f>HYPERLINK("https://klasma.github.io/Logging_1273/klagomål/S 1129-2026 FSC-klagomål.docx", "S 1129-2026")</f>
        <v/>
      </c>
      <c r="AB13">
        <f>HYPERLINK("https://klasma.github.io/Logging_1273/klagomålsmail/S 1129-2026 FSC-klagomål mail.docx", "S 1129-2026")</f>
        <v/>
      </c>
      <c r="AC13">
        <f>HYPERLINK("https://klasma.github.io/Logging_1273/tillsyn/S 1129-2026 tillsynsbegäran.docx", "S 1129-2026")</f>
        <v/>
      </c>
      <c r="AD13">
        <f>HYPERLINK("https://klasma.github.io/Logging_1273/tillsynsmail/S 1129-2026 tillsynsbegäran mail.docx", "S 1129-2026")</f>
        <v/>
      </c>
    </row>
    <row r="14" ht="15" customHeight="1">
      <c r="A14" t="inlineStr">
        <is>
          <t>S 1127-2026</t>
        </is>
      </c>
      <c r="B14" t="inlineStr">
        <is>
          <t>samrådsanmälan</t>
        </is>
      </c>
      <c r="C14" t="inlineStr">
        <is>
          <t>Askåterföring</t>
        </is>
      </c>
      <c r="D14" s="1" t="n">
        <v>46134</v>
      </c>
      <c r="E14" s="1" t="n">
        <v>46321</v>
      </c>
      <c r="F14" t="inlineStr">
        <is>
          <t>SKÅNE LÄN</t>
        </is>
      </c>
      <c r="G14" t="inlineStr">
        <is>
          <t>OSBY</t>
        </is>
      </c>
      <c r="I14" t="n">
        <v>28.4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4</v>
      </c>
      <c r="U14" t="n">
        <v>0</v>
      </c>
      <c r="V14" s="2" t="inlineStr">
        <is>
          <t>Grönsångare
Jungfrulin
Skogsödla
Revlummer</t>
        </is>
      </c>
      <c r="W14">
        <f>HYPERLINK("https://klasma.github.io/Logging_1273/artfynd/S 1127-2026 artfynd.xlsx", "S 1127-2026")</f>
        <v/>
      </c>
      <c r="X14">
        <f>HYPERLINK("https://klasma.github.io/Logging_1273/kartor/S 1127-2026 karta.png", "S 1127-2026")</f>
        <v/>
      </c>
      <c r="Y14">
        <f>HYPERLINK("https://klasma.github.io/Logging_1273/kartor_geotiff/S 1127-2026 georefererad karta.tif", "S 1127-2026")</f>
        <v/>
      </c>
      <c r="AA14">
        <f>HYPERLINK("https://klasma.github.io/Logging_1273/klagomål/S 1127-2026 FSC-klagomål.docx", "S 1127-2026")</f>
        <v/>
      </c>
      <c r="AB14">
        <f>HYPERLINK("https://klasma.github.io/Logging_1273/klagomålsmail/S 1127-2026 FSC-klagomål mail.docx", "S 1127-2026")</f>
        <v/>
      </c>
      <c r="AC14">
        <f>HYPERLINK("https://klasma.github.io/Logging_1273/tillsyn/S 1127-2026 tillsynsbegäran.docx", "S 1127-2026")</f>
        <v/>
      </c>
      <c r="AD14">
        <f>HYPERLINK("https://klasma.github.io/Logging_1273/tillsynsmail/S 1127-2026 tillsynsbegäran mail.docx", "S 1127-2026")</f>
        <v/>
      </c>
      <c r="AE14">
        <f>HYPERLINK("https://klasma.github.io/Logging_1273/fåglar/S 1127-2026 prioriterade fågelarter.docx", "S 1127-2026")</f>
        <v/>
      </c>
    </row>
    <row r="15" ht="15" customHeight="1">
      <c r="A15" t="inlineStr">
        <is>
          <t>A 22038-2026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46153</v>
      </c>
      <c r="E15" s="1" t="n">
        <v>46321</v>
      </c>
      <c r="F15" t="inlineStr">
        <is>
          <t>SKÅNE LÄN</t>
        </is>
      </c>
      <c r="G15" t="inlineStr">
        <is>
          <t>OSBY</t>
        </is>
      </c>
      <c r="H15" t="inlineStr">
        <is>
          <t>Sveaskog</t>
        </is>
      </c>
      <c r="I15" t="n">
        <v>3.9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4</v>
      </c>
      <c r="U15" t="n">
        <v>4</v>
      </c>
      <c r="V15" s="2" t="inlineStr">
        <is>
          <t>Entita
Talltita
Spillkråka</t>
        </is>
      </c>
      <c r="W15">
        <f>HYPERLINK("https://klasma.github.io/Logging_1273/artfynd/A 22038-2026 artfynd.xlsx", "A 22038-2026")</f>
        <v/>
      </c>
      <c r="X15">
        <f>HYPERLINK("https://klasma.github.io/Logging_1273/kartor/A 22038-2026 karta.png", "A 22038-2026")</f>
        <v/>
      </c>
      <c r="Y15">
        <f>HYPERLINK("https://klasma.github.io/Logging_1273/kartor_geotiff/A 22038-2026 georefererad karta.tif", "A 22038-2026")</f>
        <v/>
      </c>
      <c r="AA15">
        <f>HYPERLINK("https://klasma.github.io/Logging_1273/klagomål/A 22038-2026 FSC-klagomål.docx", "A 22038-2026")</f>
        <v/>
      </c>
      <c r="AB15">
        <f>HYPERLINK("https://klasma.github.io/Logging_1273/klagomålsmail/A 22038-2026 FSC-klagomål mail.docx", "A 22038-2026")</f>
        <v/>
      </c>
      <c r="AC15">
        <f>HYPERLINK("https://klasma.github.io/Logging_1273/tillsyn/A 22038-2026 tillsynsbegäran.docx", "A 22038-2026")</f>
        <v/>
      </c>
      <c r="AD15">
        <f>HYPERLINK("https://klasma.github.io/Logging_1273/tillsynsmail/A 22038-2026 tillsynsbegäran mail.docx", "A 22038-2026")</f>
        <v/>
      </c>
      <c r="AE15">
        <f>HYPERLINK("https://klasma.github.io/Logging_1273/fåglar/A 22038-2026 prioriterade fågelarter.docx", "A 22038-2026")</f>
        <v/>
      </c>
    </row>
    <row r="16" ht="15" customHeight="1">
      <c r="A16" t="inlineStr">
        <is>
          <t>A 27495-2026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46189</v>
      </c>
      <c r="E16" s="1" t="n">
        <v>46321</v>
      </c>
      <c r="F16" t="inlineStr">
        <is>
          <t>SKÅNE LÄN</t>
        </is>
      </c>
      <c r="G16" t="inlineStr">
        <is>
          <t>OSBY</t>
        </is>
      </c>
      <c r="H16" t="inlineStr">
        <is>
          <t>Sveaskog</t>
        </is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2</v>
      </c>
      <c r="V16" s="2" t="inlineStr">
        <is>
          <t>Talltita
Tofsmes</t>
        </is>
      </c>
      <c r="W16">
        <f>HYPERLINK("https://klasma.github.io/Logging_1273/artfynd/A 27495-2026 artfynd.xlsx", "A 27495-2026")</f>
        <v/>
      </c>
      <c r="X16">
        <f>HYPERLINK("https://klasma.github.io/Logging_1273/kartor/A 27495-2026 karta.png", "A 27495-2026")</f>
        <v/>
      </c>
      <c r="Y16">
        <f>HYPERLINK("https://klasma.github.io/Logging_1273/kartor_geotiff/A 27495-2026 georefererad karta.tif", "A 27495-2026")</f>
        <v/>
      </c>
      <c r="AA16">
        <f>HYPERLINK("https://klasma.github.io/Logging_1273/klagomål/A 27495-2026 FSC-klagomål.docx", "A 27495-2026")</f>
        <v/>
      </c>
      <c r="AB16">
        <f>HYPERLINK("https://klasma.github.io/Logging_1273/klagomålsmail/A 27495-2026 FSC-klagomål mail.docx", "A 27495-2026")</f>
        <v/>
      </c>
      <c r="AC16">
        <f>HYPERLINK("https://klasma.github.io/Logging_1273/tillsyn/A 27495-2026 tillsynsbegäran.docx", "A 27495-2026")</f>
        <v/>
      </c>
      <c r="AD16">
        <f>HYPERLINK("https://klasma.github.io/Logging_1273/tillsynsmail/A 27495-2026 tillsynsbegäran mail.docx", "A 27495-2026")</f>
        <v/>
      </c>
      <c r="AE16">
        <f>HYPERLINK("https://klasma.github.io/Logging_1273/fåglar/A 27495-2026 prioriterade fågelarter.docx", "A 27495-2026")</f>
        <v/>
      </c>
    </row>
    <row r="17" ht="15" customHeight="1">
      <c r="A17" t="inlineStr">
        <is>
          <t>A 8989-2024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45356</v>
      </c>
      <c r="E17" s="1" t="n">
        <v>46321</v>
      </c>
      <c r="F17" t="inlineStr">
        <is>
          <t>SKÅNE LÄN</t>
        </is>
      </c>
      <c r="G17" t="inlineStr">
        <is>
          <t>OSBY</t>
        </is>
      </c>
      <c r="I17" t="n">
        <v>4.2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2</v>
      </c>
      <c r="U17" t="n">
        <v>0</v>
      </c>
      <c r="V17" s="2" t="inlineStr">
        <is>
          <t>Kortskaftad parasitspik
Rostfläck</t>
        </is>
      </c>
      <c r="W17">
        <f>HYPERLINK("https://klasma.github.io/Logging_1273/artfynd/A 8989-2024 artfynd.xlsx", "A 8989-2024")</f>
        <v/>
      </c>
      <c r="X17">
        <f>HYPERLINK("https://klasma.github.io/Logging_1273/kartor/A 8989-2024 karta.png", "A 8989-2024")</f>
        <v/>
      </c>
      <c r="Y17">
        <f>HYPERLINK("https://klasma.github.io/Logging_1273/kartor_geotiff/A 8989-2024 georefererad karta.tif", "A 8989-2024")</f>
        <v/>
      </c>
      <c r="AA17">
        <f>HYPERLINK("https://klasma.github.io/Logging_1273/klagomål/A 8989-2024 FSC-klagomål.docx", "A 8989-2024")</f>
        <v/>
      </c>
      <c r="AB17">
        <f>HYPERLINK("https://klasma.github.io/Logging_1273/klagomålsmail/A 8989-2024 FSC-klagomål mail.docx", "A 8989-2024")</f>
        <v/>
      </c>
      <c r="AC17">
        <f>HYPERLINK("https://klasma.github.io/Logging_1273/tillsyn/A 8989-2024 tillsynsbegäran.docx", "A 8989-2024")</f>
        <v/>
      </c>
      <c r="AD17">
        <f>HYPERLINK("https://klasma.github.io/Logging_1273/tillsynsmail/A 8989-2024 tillsynsbegäran mail.docx", "A 8989-2024")</f>
        <v/>
      </c>
    </row>
    <row r="18" ht="15" customHeight="1">
      <c r="A18" t="inlineStr">
        <is>
          <t>A 40546-2026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46295</v>
      </c>
      <c r="E18" s="1" t="n">
        <v>46321</v>
      </c>
      <c r="F18" t="inlineStr">
        <is>
          <t>SKÅNE LÄN</t>
        </is>
      </c>
      <c r="G18" t="inlineStr">
        <is>
          <t>OSBY</t>
        </is>
      </c>
      <c r="I18" t="n">
        <v>3.6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0</v>
      </c>
      <c r="V18" s="2" t="inlineStr">
        <is>
          <t>Knärot
Spillkråka</t>
        </is>
      </c>
      <c r="W18">
        <f>HYPERLINK("https://klasma.github.io/Logging_1273/artfynd/A 40546-2026 artfynd.xlsx", "A 40546-2026")</f>
        <v/>
      </c>
      <c r="X18">
        <f>HYPERLINK("https://klasma.github.io/Logging_1273/kartor/A 40546-2026 karta.png", "A 40546-2026")</f>
        <v/>
      </c>
      <c r="Y18">
        <f>HYPERLINK("https://klasma.github.io/Logging_1273/kartor_geotiff/A 40546-2026 georefererad karta.tif", "A 40546-2026")</f>
        <v/>
      </c>
      <c r="Z18">
        <f>HYPERLINK("https://klasma.github.io/Logging_1273/knärot/A 40546-2026 karta knärot.png", "A 40546-2026")</f>
        <v/>
      </c>
      <c r="AA18">
        <f>HYPERLINK("https://klasma.github.io/Logging_1273/klagomål/A 40546-2026 FSC-klagomål.docx", "A 40546-2026")</f>
        <v/>
      </c>
      <c r="AB18">
        <f>HYPERLINK("https://klasma.github.io/Logging_1273/klagomålsmail/A 40546-2026 FSC-klagomål mail.docx", "A 40546-2026")</f>
        <v/>
      </c>
      <c r="AC18">
        <f>HYPERLINK("https://klasma.github.io/Logging_1273/tillsyn/A 40546-2026 tillsynsbegäran.docx", "A 40546-2026")</f>
        <v/>
      </c>
      <c r="AD18">
        <f>HYPERLINK("https://klasma.github.io/Logging_1273/tillsynsmail/A 40546-2026 tillsynsbegäran mail.docx", "A 40546-2026")</f>
        <v/>
      </c>
      <c r="AE18">
        <f>HYPERLINK("https://klasma.github.io/Logging_1273/fåglar/A 40546-2026 prioriterade fågelarter.docx", "A 40546-2026")</f>
        <v/>
      </c>
    </row>
    <row r="19" ht="15" customHeight="1">
      <c r="A19" t="inlineStr">
        <is>
          <t>A 32705-2025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45839</v>
      </c>
      <c r="E19" s="1" t="n">
        <v>46321</v>
      </c>
      <c r="F19" t="inlineStr">
        <is>
          <t>SKÅNE LÄN</t>
        </is>
      </c>
      <c r="G19" t="inlineStr">
        <is>
          <t>OSBY</t>
        </is>
      </c>
      <c r="I19" t="n">
        <v>0.6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4</v>
      </c>
      <c r="U19" t="n">
        <v>0</v>
      </c>
      <c r="V19" s="2" t="inlineStr">
        <is>
          <t>Sädesärla
Kungsfågel</t>
        </is>
      </c>
      <c r="W19">
        <f>HYPERLINK("https://klasma.github.io/Logging_1273/artfynd/A 32705-2025 artfynd.xlsx", "A 32705-2025")</f>
        <v/>
      </c>
      <c r="X19">
        <f>HYPERLINK("https://klasma.github.io/Logging_1273/kartor/A 32705-2025 karta.png", "A 32705-2025")</f>
        <v/>
      </c>
      <c r="Y19">
        <f>HYPERLINK("https://klasma.github.io/Logging_1273/kartor_geotiff/A 32705-2025 georefererad karta.tif", "A 32705-2025")</f>
        <v/>
      </c>
      <c r="AA19">
        <f>HYPERLINK("https://klasma.github.io/Logging_1273/klagomål/A 32705-2025 FSC-klagomål.docx", "A 32705-2025")</f>
        <v/>
      </c>
      <c r="AB19">
        <f>HYPERLINK("https://klasma.github.io/Logging_1273/klagomålsmail/A 32705-2025 FSC-klagomål mail.docx", "A 32705-2025")</f>
        <v/>
      </c>
      <c r="AC19">
        <f>HYPERLINK("https://klasma.github.io/Logging_1273/tillsyn/A 32705-2025 tillsynsbegäran.docx", "A 32705-2025")</f>
        <v/>
      </c>
      <c r="AD19">
        <f>HYPERLINK("https://klasma.github.io/Logging_1273/tillsynsmail/A 32705-2025 tillsynsbegäran mail.docx", "A 32705-2025")</f>
        <v/>
      </c>
      <c r="AE19">
        <f>HYPERLINK("https://klasma.github.io/Logging_1273/fåglar/A 32705-2025 prioriterade fågelarter.docx", "A 32705-2025")</f>
        <v/>
      </c>
    </row>
    <row r="20" ht="15" customHeight="1">
      <c r="A20" t="inlineStr">
        <is>
          <t>A 44851-2025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45918</v>
      </c>
      <c r="E20" s="1" t="n">
        <v>46321</v>
      </c>
      <c r="F20" t="inlineStr">
        <is>
          <t>SKÅNE LÄN</t>
        </is>
      </c>
      <c r="G20" t="inlineStr">
        <is>
          <t>OSBY</t>
        </is>
      </c>
      <c r="I20" t="n">
        <v>5.7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3</v>
      </c>
      <c r="U20" t="n">
        <v>3</v>
      </c>
      <c r="V20" s="2" t="inlineStr">
        <is>
          <t>Talltita
Kungsfågel</t>
        </is>
      </c>
      <c r="W20">
        <f>HYPERLINK("https://klasma.github.io/Logging_1273/artfynd/A 44851-2025 artfynd.xlsx", "A 44851-2025")</f>
        <v/>
      </c>
      <c r="X20">
        <f>HYPERLINK("https://klasma.github.io/Logging_1273/kartor/A 44851-2025 karta.png", "A 44851-2025")</f>
        <v/>
      </c>
      <c r="Y20">
        <f>HYPERLINK("https://klasma.github.io/Logging_1273/kartor_geotiff/A 44851-2025 georefererad karta.tif", "A 44851-2025")</f>
        <v/>
      </c>
      <c r="AA20">
        <f>HYPERLINK("https://klasma.github.io/Logging_1273/klagomål/A 44851-2025 FSC-klagomål.docx", "A 44851-2025")</f>
        <v/>
      </c>
      <c r="AB20">
        <f>HYPERLINK("https://klasma.github.io/Logging_1273/klagomålsmail/A 44851-2025 FSC-klagomål mail.docx", "A 44851-2025")</f>
        <v/>
      </c>
      <c r="AC20">
        <f>HYPERLINK("https://klasma.github.io/Logging_1273/tillsyn/A 44851-2025 tillsynsbegäran.docx", "A 44851-2025")</f>
        <v/>
      </c>
      <c r="AD20">
        <f>HYPERLINK("https://klasma.github.io/Logging_1273/tillsynsmail/A 44851-2025 tillsynsbegäran mail.docx", "A 44851-2025")</f>
        <v/>
      </c>
      <c r="AE20">
        <f>HYPERLINK("https://klasma.github.io/Logging_1273/fåglar/A 44851-2025 prioriterade fågelarter.docx", "A 44851-2025")</f>
        <v/>
      </c>
    </row>
    <row r="21" ht="15" customHeight="1">
      <c r="A21" t="inlineStr">
        <is>
          <t>A 36266-2025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45867</v>
      </c>
      <c r="E21" s="1" t="n">
        <v>46321</v>
      </c>
      <c r="F21" t="inlineStr">
        <is>
          <t>SKÅNE LÄN</t>
        </is>
      </c>
      <c r="G21" t="inlineStr">
        <is>
          <t>OSBY</t>
        </is>
      </c>
      <c r="I21" t="n">
        <v>3.3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Talltita
Kungsfågel</t>
        </is>
      </c>
      <c r="W21">
        <f>HYPERLINK("https://klasma.github.io/Logging_1273/artfynd/A 36266-2025 artfynd.xlsx", "A 36266-2025")</f>
        <v/>
      </c>
      <c r="X21">
        <f>HYPERLINK("https://klasma.github.io/Logging_1273/kartor/A 36266-2025 karta.png", "A 36266-2025")</f>
        <v/>
      </c>
      <c r="Y21">
        <f>HYPERLINK("https://klasma.github.io/Logging_1273/kartor_geotiff/A 36266-2025 georefererad karta.tif", "A 36266-2025")</f>
        <v/>
      </c>
      <c r="AA21">
        <f>HYPERLINK("https://klasma.github.io/Logging_1273/klagomål/A 36266-2025 FSC-klagomål.docx", "A 36266-2025")</f>
        <v/>
      </c>
      <c r="AB21">
        <f>HYPERLINK("https://klasma.github.io/Logging_1273/klagomålsmail/A 36266-2025 FSC-klagomål mail.docx", "A 36266-2025")</f>
        <v/>
      </c>
      <c r="AC21">
        <f>HYPERLINK("https://klasma.github.io/Logging_1273/tillsyn/A 36266-2025 tillsynsbegäran.docx", "A 36266-2025")</f>
        <v/>
      </c>
      <c r="AD21">
        <f>HYPERLINK("https://klasma.github.io/Logging_1273/tillsynsmail/A 36266-2025 tillsynsbegäran mail.docx", "A 36266-2025")</f>
        <v/>
      </c>
      <c r="AE21">
        <f>HYPERLINK("https://klasma.github.io/Logging_1273/fåglar/A 36266-2025 prioriterade fågelarter.docx", "A 36266-2025")</f>
        <v/>
      </c>
    </row>
    <row r="22" ht="15" customHeight="1">
      <c r="A22" t="inlineStr">
        <is>
          <t>A 22036-2026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46153</v>
      </c>
      <c r="E22" s="1" t="n">
        <v>46321</v>
      </c>
      <c r="F22" t="inlineStr">
        <is>
          <t>SKÅNE LÄN</t>
        </is>
      </c>
      <c r="G22" t="inlineStr">
        <is>
          <t>OSBY</t>
        </is>
      </c>
      <c r="H22" t="inlineStr">
        <is>
          <t>Sveaskog</t>
        </is>
      </c>
      <c r="I22" t="n">
        <v>5.4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3</v>
      </c>
      <c r="U22" t="n">
        <v>3</v>
      </c>
      <c r="V22" s="2" t="inlineStr">
        <is>
          <t>Entita
Spillkråka</t>
        </is>
      </c>
      <c r="W22">
        <f>HYPERLINK("https://klasma.github.io/Logging_1273/artfynd/A 22036-2026 artfynd.xlsx", "A 22036-2026")</f>
        <v/>
      </c>
      <c r="X22">
        <f>HYPERLINK("https://klasma.github.io/Logging_1273/kartor/A 22036-2026 karta.png", "A 22036-2026")</f>
        <v/>
      </c>
      <c r="Y22">
        <f>HYPERLINK("https://klasma.github.io/Logging_1273/kartor_geotiff/A 22036-2026 georefererad karta.tif", "A 22036-2026")</f>
        <v/>
      </c>
      <c r="AA22">
        <f>HYPERLINK("https://klasma.github.io/Logging_1273/klagomål/A 22036-2026 FSC-klagomål.docx", "A 22036-2026")</f>
        <v/>
      </c>
      <c r="AB22">
        <f>HYPERLINK("https://klasma.github.io/Logging_1273/klagomålsmail/A 22036-2026 FSC-klagomål mail.docx", "A 22036-2026")</f>
        <v/>
      </c>
      <c r="AC22">
        <f>HYPERLINK("https://klasma.github.io/Logging_1273/tillsyn/A 22036-2026 tillsynsbegäran.docx", "A 22036-2026")</f>
        <v/>
      </c>
      <c r="AD22">
        <f>HYPERLINK("https://klasma.github.io/Logging_1273/tillsynsmail/A 22036-2026 tillsynsbegäran mail.docx", "A 22036-2026")</f>
        <v/>
      </c>
      <c r="AE22">
        <f>HYPERLINK("https://klasma.github.io/Logging_1273/fåglar/A 22036-2026 prioriterade fågelarter.docx", "A 22036-2026")</f>
        <v/>
      </c>
    </row>
    <row r="23" ht="15" customHeight="1">
      <c r="A23" t="inlineStr">
        <is>
          <t>A 23811-2023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45078</v>
      </c>
      <c r="E23" s="1" t="n">
        <v>46321</v>
      </c>
      <c r="F23" t="inlineStr">
        <is>
          <t>SKÅNE LÄN</t>
        </is>
      </c>
      <c r="G23" t="inlineStr">
        <is>
          <t>OSBY</t>
        </is>
      </c>
      <c r="I23" t="n">
        <v>1.7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2</v>
      </c>
      <c r="T23" t="n">
        <v>2</v>
      </c>
      <c r="U23" t="n">
        <v>0</v>
      </c>
      <c r="V23" s="2" t="inlineStr">
        <is>
          <t>Sjötåtel
Borsttåg</t>
        </is>
      </c>
      <c r="W23">
        <f>HYPERLINK("https://klasma.github.io/Logging_1273/artfynd/A 23811-2023 artfynd.xlsx", "A 23811-2023")</f>
        <v/>
      </c>
      <c r="X23">
        <f>HYPERLINK("https://klasma.github.io/Logging_1273/kartor/A 23811-2023 karta.png", "A 23811-2023")</f>
        <v/>
      </c>
      <c r="Y23">
        <f>HYPERLINK("https://klasma.github.io/Logging_1273/kartor_geotiff/A 23811-2023 georefererad karta.tif", "A 23811-2023")</f>
        <v/>
      </c>
      <c r="AA23">
        <f>HYPERLINK("https://klasma.github.io/Logging_1273/klagomål/A 23811-2023 FSC-klagomål.docx", "A 23811-2023")</f>
        <v/>
      </c>
      <c r="AB23">
        <f>HYPERLINK("https://klasma.github.io/Logging_1273/klagomålsmail/A 23811-2023 FSC-klagomål mail.docx", "A 23811-2023")</f>
        <v/>
      </c>
      <c r="AC23">
        <f>HYPERLINK("https://klasma.github.io/Logging_1273/tillsyn/A 23811-2023 tillsynsbegäran.docx", "A 23811-2023")</f>
        <v/>
      </c>
      <c r="AD23">
        <f>HYPERLINK("https://klasma.github.io/Logging_1273/tillsynsmail/A 23811-2023 tillsynsbegäran mail.docx", "A 23811-2023")</f>
        <v/>
      </c>
    </row>
    <row r="24" ht="15" customHeight="1">
      <c r="A24" t="inlineStr">
        <is>
          <t>A 51859-2024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45607</v>
      </c>
      <c r="E24" s="1" t="n">
        <v>46321</v>
      </c>
      <c r="F24" t="inlineStr">
        <is>
          <t>SKÅNE LÄN</t>
        </is>
      </c>
      <c r="G24" t="inlineStr">
        <is>
          <t>OSBY</t>
        </is>
      </c>
      <c r="H24" t="inlineStr">
        <is>
          <t>Sveaskog</t>
        </is>
      </c>
      <c r="I24" t="n">
        <v>2.8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Spillkråka
Gröngöling</t>
        </is>
      </c>
      <c r="W24">
        <f>HYPERLINK("https://klasma.github.io/Logging_1273/artfynd/A 51859-2024 artfynd.xlsx", "A 51859-2024")</f>
        <v/>
      </c>
      <c r="X24">
        <f>HYPERLINK("https://klasma.github.io/Logging_1273/kartor/A 51859-2024 karta.png", "A 51859-2024")</f>
        <v/>
      </c>
      <c r="Y24">
        <f>HYPERLINK("https://klasma.github.io/Logging_1273/kartor_geotiff/A 51859-2024 georefererad karta.tif", "A 51859-2024")</f>
        <v/>
      </c>
      <c r="AA24">
        <f>HYPERLINK("https://klasma.github.io/Logging_1273/klagomål/A 51859-2024 FSC-klagomål.docx", "A 51859-2024")</f>
        <v/>
      </c>
      <c r="AB24">
        <f>HYPERLINK("https://klasma.github.io/Logging_1273/klagomålsmail/A 51859-2024 FSC-klagomål mail.docx", "A 51859-2024")</f>
        <v/>
      </c>
      <c r="AC24">
        <f>HYPERLINK("https://klasma.github.io/Logging_1273/tillsyn/A 51859-2024 tillsynsbegäran.docx", "A 51859-2024")</f>
        <v/>
      </c>
      <c r="AD24">
        <f>HYPERLINK("https://klasma.github.io/Logging_1273/tillsynsmail/A 51859-2024 tillsynsbegäran mail.docx", "A 51859-2024")</f>
        <v/>
      </c>
      <c r="AE24">
        <f>HYPERLINK("https://klasma.github.io/Logging_1273/fåglar/A 51859-2024 prioriterade fågelarter.docx", "A 51859-2024")</f>
        <v/>
      </c>
    </row>
    <row r="25" ht="15" customHeight="1">
      <c r="A25" t="inlineStr">
        <is>
          <t>S 1208-2022</t>
        </is>
      </c>
      <c r="B25" t="inlineStr">
        <is>
          <t>samrådsanmälan</t>
        </is>
      </c>
      <c r="C25" t="inlineStr">
        <is>
          <t>Askåterföring</t>
        </is>
      </c>
      <c r="D25" s="1" t="n">
        <v>44622</v>
      </c>
      <c r="E25" s="1" t="n">
        <v>46321</v>
      </c>
      <c r="F25" t="inlineStr">
        <is>
          <t>SKÅNE LÄN</t>
        </is>
      </c>
      <c r="G25" t="inlineStr">
        <is>
          <t>OSBY</t>
        </is>
      </c>
      <c r="I25" t="n">
        <v>76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2</v>
      </c>
      <c r="U25" t="n">
        <v>1</v>
      </c>
      <c r="V25" s="2" t="inlineStr">
        <is>
          <t>Entita
Kungsfågel</t>
        </is>
      </c>
      <c r="W25">
        <f>HYPERLINK("https://klasma.github.io/Logging_1273/artfynd/S 1208-2022 artfynd.xlsx", "S 1208-2022")</f>
        <v/>
      </c>
      <c r="X25">
        <f>HYPERLINK("https://klasma.github.io/Logging_1273/kartor/S 1208-2022 karta.png", "S 1208-2022")</f>
        <v/>
      </c>
      <c r="Y25">
        <f>HYPERLINK("https://klasma.github.io/Logging_1273/kartor_geotiff/S 1208-2022 georefererad karta.tif", "S 1208-2022")</f>
        <v/>
      </c>
      <c r="AA25">
        <f>HYPERLINK("https://klasma.github.io/Logging_1273/klagomål/S 1208-2022 FSC-klagomål.docx", "S 1208-2022")</f>
        <v/>
      </c>
      <c r="AB25">
        <f>HYPERLINK("https://klasma.github.io/Logging_1273/klagomålsmail/S 1208-2022 FSC-klagomål mail.docx", "S 1208-2022")</f>
        <v/>
      </c>
      <c r="AC25">
        <f>HYPERLINK("https://klasma.github.io/Logging_1273/tillsyn/S 1208-2022 tillsynsbegäran.docx", "S 1208-2022")</f>
        <v/>
      </c>
      <c r="AD25">
        <f>HYPERLINK("https://klasma.github.io/Logging_1273/tillsynsmail/S 1208-2022 tillsynsbegäran mail.docx", "S 1208-2022")</f>
        <v/>
      </c>
      <c r="AE25">
        <f>HYPERLINK("https://klasma.github.io/Logging_1273/fåglar/S 1208-2022 prioriterade fågelarter.docx", "S 1208-2022")</f>
        <v/>
      </c>
    </row>
    <row r="26" ht="15" customHeight="1">
      <c r="A26" t="inlineStr">
        <is>
          <t>A 38643-2022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44813</v>
      </c>
      <c r="E26" s="1" t="n">
        <v>46321</v>
      </c>
      <c r="F26" t="inlineStr">
        <is>
          <t>SKÅNE LÄN</t>
        </is>
      </c>
      <c r="G26" t="inlineStr">
        <is>
          <t>OSBY</t>
        </is>
      </c>
      <c r="H26" t="inlineStr">
        <is>
          <t>Kyrkan</t>
        </is>
      </c>
      <c r="I26" t="n">
        <v>9.5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Havstulpanlav</t>
        </is>
      </c>
      <c r="W26">
        <f>HYPERLINK("https://klasma.github.io/Logging_1273/artfynd/A 38643-2022 artfynd.xlsx", "A 38643-2022")</f>
        <v/>
      </c>
      <c r="X26">
        <f>HYPERLINK("https://klasma.github.io/Logging_1273/kartor/A 38643-2022 karta.png", "A 38643-2022")</f>
        <v/>
      </c>
      <c r="Y26">
        <f>HYPERLINK("https://klasma.github.io/Logging_1273/kartor_geotiff/A 38643-2022 georefererad karta.tif", "A 38643-2022")</f>
        <v/>
      </c>
      <c r="AA26">
        <f>HYPERLINK("https://klasma.github.io/Logging_1273/klagomål/A 38643-2022 FSC-klagomål.docx", "A 38643-2022")</f>
        <v/>
      </c>
      <c r="AB26">
        <f>HYPERLINK("https://klasma.github.io/Logging_1273/klagomålsmail/A 38643-2022 FSC-klagomål mail.docx", "A 38643-2022")</f>
        <v/>
      </c>
      <c r="AC26">
        <f>HYPERLINK("https://klasma.github.io/Logging_1273/tillsyn/A 38643-2022 tillsynsbegäran.docx", "A 38643-2022")</f>
        <v/>
      </c>
      <c r="AD26">
        <f>HYPERLINK("https://klasma.github.io/Logging_1273/tillsynsmail/A 38643-2022 tillsynsbegäran mail.docx", "A 38643-2022")</f>
        <v/>
      </c>
    </row>
    <row r="27" ht="15" customHeight="1">
      <c r="A27" t="inlineStr">
        <is>
          <t>A 47612-2022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44852</v>
      </c>
      <c r="E27" s="1" t="n">
        <v>46321</v>
      </c>
      <c r="F27" t="inlineStr">
        <is>
          <t>SKÅNE LÄN</t>
        </is>
      </c>
      <c r="G27" t="inlineStr">
        <is>
          <t>OSBY</t>
        </is>
      </c>
      <c r="H27" t="inlineStr">
        <is>
          <t>Kyrkan</t>
        </is>
      </c>
      <c r="I27" t="n">
        <v>16.4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Ärtsångare</t>
        </is>
      </c>
      <c r="W27">
        <f>HYPERLINK("https://klasma.github.io/Logging_1273/artfynd/A 47612-2022 artfynd.xlsx", "A 47612-2022")</f>
        <v/>
      </c>
      <c r="X27">
        <f>HYPERLINK("https://klasma.github.io/Logging_1273/kartor/A 47612-2022 karta.png", "A 47612-2022")</f>
        <v/>
      </c>
      <c r="Y27">
        <f>HYPERLINK("https://klasma.github.io/Logging_1273/kartor_geotiff/A 47612-2022 georefererad karta.tif", "A 47612-2022")</f>
        <v/>
      </c>
      <c r="AA27">
        <f>HYPERLINK("https://klasma.github.io/Logging_1273/klagomål/A 47612-2022 FSC-klagomål.docx", "A 47612-2022")</f>
        <v/>
      </c>
      <c r="AB27">
        <f>HYPERLINK("https://klasma.github.io/Logging_1273/klagomålsmail/A 47612-2022 FSC-klagomål mail.docx", "A 47612-2022")</f>
        <v/>
      </c>
      <c r="AC27">
        <f>HYPERLINK("https://klasma.github.io/Logging_1273/tillsyn/A 47612-2022 tillsynsbegäran.docx", "A 47612-2022")</f>
        <v/>
      </c>
      <c r="AD27">
        <f>HYPERLINK("https://klasma.github.io/Logging_1273/tillsynsmail/A 47612-2022 tillsynsbegäran mail.docx", "A 47612-2022")</f>
        <v/>
      </c>
    </row>
    <row r="28" ht="15" customHeight="1">
      <c r="A28" t="inlineStr">
        <is>
          <t>A 23963-2022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44722</v>
      </c>
      <c r="E28" s="1" t="n">
        <v>46321</v>
      </c>
      <c r="F28" t="inlineStr">
        <is>
          <t>SKÅNE LÄN</t>
        </is>
      </c>
      <c r="G28" t="inlineStr">
        <is>
          <t>OSBY</t>
        </is>
      </c>
      <c r="H28" t="inlineStr">
        <is>
          <t>Kyrkan</t>
        </is>
      </c>
      <c r="I28" t="n">
        <v>4.5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4</v>
      </c>
      <c r="U28" t="n">
        <v>4</v>
      </c>
      <c r="V28" s="2" t="inlineStr">
        <is>
          <t>Kungsfågel</t>
        </is>
      </c>
      <c r="W28">
        <f>HYPERLINK("https://klasma.github.io/Logging_1273/artfynd/A 23963-2022 artfynd.xlsx", "A 23963-2022")</f>
        <v/>
      </c>
      <c r="X28">
        <f>HYPERLINK("https://klasma.github.io/Logging_1273/kartor/A 23963-2022 karta.png", "A 23963-2022")</f>
        <v/>
      </c>
      <c r="Y28">
        <f>HYPERLINK("https://klasma.github.io/Logging_1273/kartor_geotiff/A 23963-2022 georefererad karta.tif", "A 23963-2022")</f>
        <v/>
      </c>
      <c r="AA28">
        <f>HYPERLINK("https://klasma.github.io/Logging_1273/klagomål/A 23963-2022 FSC-klagomål.docx", "A 23963-2022")</f>
        <v/>
      </c>
      <c r="AB28">
        <f>HYPERLINK("https://klasma.github.io/Logging_1273/klagomålsmail/A 23963-2022 FSC-klagomål mail.docx", "A 23963-2022")</f>
        <v/>
      </c>
      <c r="AC28">
        <f>HYPERLINK("https://klasma.github.io/Logging_1273/tillsyn/A 23963-2022 tillsynsbegäran.docx", "A 23963-2022")</f>
        <v/>
      </c>
      <c r="AD28">
        <f>HYPERLINK("https://klasma.github.io/Logging_1273/tillsynsmail/A 23963-2022 tillsynsbegäran mail.docx", "A 23963-2022")</f>
        <v/>
      </c>
    </row>
    <row r="29" ht="15" customHeight="1">
      <c r="A29" t="inlineStr">
        <is>
          <t>A 33491-2022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44788</v>
      </c>
      <c r="E29" s="1" t="n">
        <v>46321</v>
      </c>
      <c r="F29" t="inlineStr">
        <is>
          <t>SKÅNE LÄN</t>
        </is>
      </c>
      <c r="G29" t="inlineStr">
        <is>
          <t>OSBY</t>
        </is>
      </c>
      <c r="I29" t="n">
        <v>11.8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Pimpinellros</t>
        </is>
      </c>
      <c r="W29">
        <f>HYPERLINK("https://klasma.github.io/Logging_1273/artfynd/A 33491-2022 artfynd.xlsx", "A 33491-2022")</f>
        <v/>
      </c>
      <c r="X29">
        <f>HYPERLINK("https://klasma.github.io/Logging_1273/kartor/A 33491-2022 karta.png", "A 33491-2022")</f>
        <v/>
      </c>
      <c r="Y29">
        <f>HYPERLINK("https://klasma.github.io/Logging_1273/kartor_geotiff/A 33491-2022 georefererad karta.tif", "A 33491-2022")</f>
        <v/>
      </c>
      <c r="AA29">
        <f>HYPERLINK("https://klasma.github.io/Logging_1273/klagomål/A 33491-2022 FSC-klagomål.docx", "A 33491-2022")</f>
        <v/>
      </c>
      <c r="AB29">
        <f>HYPERLINK("https://klasma.github.io/Logging_1273/klagomålsmail/A 33491-2022 FSC-klagomål mail.docx", "A 33491-2022")</f>
        <v/>
      </c>
      <c r="AC29">
        <f>HYPERLINK("https://klasma.github.io/Logging_1273/tillsyn/A 33491-2022 tillsynsbegäran.docx", "A 33491-2022")</f>
        <v/>
      </c>
      <c r="AD29">
        <f>HYPERLINK("https://klasma.github.io/Logging_1273/tillsynsmail/A 33491-2022 tillsynsbegäran mail.docx", "A 33491-2022")</f>
        <v/>
      </c>
    </row>
    <row r="30" ht="15" customHeight="1">
      <c r="A30" t="inlineStr">
        <is>
          <t>A 42610-2025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45905</v>
      </c>
      <c r="E30" s="1" t="n">
        <v>46321</v>
      </c>
      <c r="F30" t="inlineStr">
        <is>
          <t>SKÅNE LÄN</t>
        </is>
      </c>
      <c r="G30" t="inlineStr">
        <is>
          <t>OSBY</t>
        </is>
      </c>
      <c r="H30" t="inlineStr">
        <is>
          <t>Kyrkan</t>
        </is>
      </c>
      <c r="I30" t="n">
        <v>2.4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Havstulpanlav</t>
        </is>
      </c>
      <c r="W30">
        <f>HYPERLINK("https://klasma.github.io/Logging_1273/artfynd/A 42610-2025 artfynd.xlsx", "A 42610-2025")</f>
        <v/>
      </c>
      <c r="X30">
        <f>HYPERLINK("https://klasma.github.io/Logging_1273/kartor/A 42610-2025 karta.png", "A 42610-2025")</f>
        <v/>
      </c>
      <c r="Y30">
        <f>HYPERLINK("https://klasma.github.io/Logging_1273/kartor_geotiff/A 42610-2025 georefererad karta.tif", "A 42610-2025")</f>
        <v/>
      </c>
      <c r="AA30">
        <f>HYPERLINK("https://klasma.github.io/Logging_1273/klagomål/A 42610-2025 FSC-klagomål.docx", "A 42610-2025")</f>
        <v/>
      </c>
      <c r="AB30">
        <f>HYPERLINK("https://klasma.github.io/Logging_1273/klagomålsmail/A 42610-2025 FSC-klagomål mail.docx", "A 42610-2025")</f>
        <v/>
      </c>
      <c r="AC30">
        <f>HYPERLINK("https://klasma.github.io/Logging_1273/tillsyn/A 42610-2025 tillsynsbegäran.docx", "A 42610-2025")</f>
        <v/>
      </c>
      <c r="AD30">
        <f>HYPERLINK("https://klasma.github.io/Logging_1273/tillsynsmail/A 42610-2025 tillsynsbegäran mail.docx", "A 42610-2025")</f>
        <v/>
      </c>
    </row>
    <row r="31" ht="15" customHeight="1">
      <c r="A31" t="inlineStr">
        <is>
          <t>A 43095-2025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45909</v>
      </c>
      <c r="E31" s="1" t="n">
        <v>46321</v>
      </c>
      <c r="F31" t="inlineStr">
        <is>
          <t>SKÅNE LÄN</t>
        </is>
      </c>
      <c r="G31" t="inlineStr">
        <is>
          <t>OSBY</t>
        </is>
      </c>
      <c r="I31" t="n">
        <v>0.3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Tibast</t>
        </is>
      </c>
      <c r="W31">
        <f>HYPERLINK("https://klasma.github.io/Logging_1273/artfynd/A 43095-2025 artfynd.xlsx", "A 43095-2025")</f>
        <v/>
      </c>
      <c r="X31">
        <f>HYPERLINK("https://klasma.github.io/Logging_1273/kartor/A 43095-2025 karta.png", "A 43095-2025")</f>
        <v/>
      </c>
      <c r="Y31">
        <f>HYPERLINK("https://klasma.github.io/Logging_1273/kartor_geotiff/A 43095-2025 georefererad karta.tif", "A 43095-2025")</f>
        <v/>
      </c>
      <c r="AA31">
        <f>HYPERLINK("https://klasma.github.io/Logging_1273/klagomål/A 43095-2025 FSC-klagomål.docx", "A 43095-2025")</f>
        <v/>
      </c>
      <c r="AB31">
        <f>HYPERLINK("https://klasma.github.io/Logging_1273/klagomålsmail/A 43095-2025 FSC-klagomål mail.docx", "A 43095-2025")</f>
        <v/>
      </c>
      <c r="AC31">
        <f>HYPERLINK("https://klasma.github.io/Logging_1273/tillsyn/A 43095-2025 tillsynsbegäran.docx", "A 43095-2025")</f>
        <v/>
      </c>
      <c r="AD31">
        <f>HYPERLINK("https://klasma.github.io/Logging_1273/tillsynsmail/A 43095-2025 tillsynsbegäran mail.docx", "A 43095-2025")</f>
        <v/>
      </c>
    </row>
    <row r="32" ht="15" customHeight="1">
      <c r="A32" t="inlineStr">
        <is>
          <t>A 10056-2024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45364</v>
      </c>
      <c r="E32" s="1" t="n">
        <v>46321</v>
      </c>
      <c r="F32" t="inlineStr">
        <is>
          <t>SKÅNE LÄN</t>
        </is>
      </c>
      <c r="G32" t="inlineStr">
        <is>
          <t>OSBY</t>
        </is>
      </c>
      <c r="I32" t="n">
        <v>6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Grönvit nattviol</t>
        </is>
      </c>
      <c r="W32">
        <f>HYPERLINK("https://klasma.github.io/Logging_1273/artfynd/A 10056-2024 artfynd.xlsx", "A 10056-2024")</f>
        <v/>
      </c>
      <c r="X32">
        <f>HYPERLINK("https://klasma.github.io/Logging_1273/kartor/A 10056-2024 karta.png", "A 10056-2024")</f>
        <v/>
      </c>
      <c r="Y32">
        <f>HYPERLINK("https://klasma.github.io/Logging_1273/kartor_geotiff/A 10056-2024 georefererad karta.tif", "A 10056-2024")</f>
        <v/>
      </c>
      <c r="AA32">
        <f>HYPERLINK("https://klasma.github.io/Logging_1273/klagomål/A 10056-2024 FSC-klagomål.docx", "A 10056-2024")</f>
        <v/>
      </c>
      <c r="AB32">
        <f>HYPERLINK("https://klasma.github.io/Logging_1273/klagomålsmail/A 10056-2024 FSC-klagomål mail.docx", "A 10056-2024")</f>
        <v/>
      </c>
      <c r="AC32">
        <f>HYPERLINK("https://klasma.github.io/Logging_1273/tillsyn/A 10056-2024 tillsynsbegäran.docx", "A 10056-2024")</f>
        <v/>
      </c>
      <c r="AD32">
        <f>HYPERLINK("https://klasma.github.io/Logging_1273/tillsynsmail/A 10056-2024 tillsynsbegäran mail.docx", "A 10056-2024")</f>
        <v/>
      </c>
    </row>
    <row r="33" ht="15" customHeight="1">
      <c r="A33" t="inlineStr">
        <is>
          <t>A 46477-2025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45925</v>
      </c>
      <c r="E33" s="1" t="n">
        <v>46321</v>
      </c>
      <c r="F33" t="inlineStr">
        <is>
          <t>SKÅNE LÄN</t>
        </is>
      </c>
      <c r="G33" t="inlineStr">
        <is>
          <t>OSBY</t>
        </is>
      </c>
      <c r="I33" t="n">
        <v>0.7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Kopparödla</t>
        </is>
      </c>
      <c r="W33">
        <f>HYPERLINK("https://klasma.github.io/Logging_1273/artfynd/A 46477-2025 artfynd.xlsx", "A 46477-2025")</f>
        <v/>
      </c>
      <c r="X33">
        <f>HYPERLINK("https://klasma.github.io/Logging_1273/kartor/A 46477-2025 karta.png", "A 46477-2025")</f>
        <v/>
      </c>
      <c r="Y33">
        <f>HYPERLINK("https://klasma.github.io/Logging_1273/kartor_geotiff/A 46477-2025 georefererad karta.tif", "A 46477-2025")</f>
        <v/>
      </c>
      <c r="AA33">
        <f>HYPERLINK("https://klasma.github.io/Logging_1273/klagomål/A 46477-2025 FSC-klagomål.docx", "A 46477-2025")</f>
        <v/>
      </c>
      <c r="AB33">
        <f>HYPERLINK("https://klasma.github.io/Logging_1273/klagomålsmail/A 46477-2025 FSC-klagomål mail.docx", "A 46477-2025")</f>
        <v/>
      </c>
      <c r="AC33">
        <f>HYPERLINK("https://klasma.github.io/Logging_1273/tillsyn/A 46477-2025 tillsynsbegäran.docx", "A 46477-2025")</f>
        <v/>
      </c>
      <c r="AD33">
        <f>HYPERLINK("https://klasma.github.io/Logging_1273/tillsynsmail/A 46477-2025 tillsynsbegäran mail.docx", "A 46477-2025")</f>
        <v/>
      </c>
    </row>
    <row r="34" ht="15" customHeight="1">
      <c r="A34" t="inlineStr">
        <is>
          <t>A 24543-2026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46170</v>
      </c>
      <c r="E34" s="1" t="n">
        <v>46321</v>
      </c>
      <c r="F34" t="inlineStr">
        <is>
          <t>SKÅNE LÄN</t>
        </is>
      </c>
      <c r="G34" t="inlineStr">
        <is>
          <t>OSBY</t>
        </is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Fällmossa</t>
        </is>
      </c>
      <c r="W34">
        <f>HYPERLINK("https://klasma.github.io/Logging_1273/artfynd/A 24543-2026 artfynd.xlsx", "A 24543-2026")</f>
        <v/>
      </c>
      <c r="X34">
        <f>HYPERLINK("https://klasma.github.io/Logging_1273/kartor/A 24543-2026 karta.png", "A 24543-2026")</f>
        <v/>
      </c>
      <c r="Y34">
        <f>HYPERLINK("https://klasma.github.io/Logging_1273/kartor_geotiff/A 24543-2026 georefererad karta.tif", "A 24543-2026")</f>
        <v/>
      </c>
      <c r="AA34">
        <f>HYPERLINK("https://klasma.github.io/Logging_1273/klagomål/A 24543-2026 FSC-klagomål.docx", "A 24543-2026")</f>
        <v/>
      </c>
      <c r="AB34">
        <f>HYPERLINK("https://klasma.github.io/Logging_1273/klagomålsmail/A 24543-2026 FSC-klagomål mail.docx", "A 24543-2026")</f>
        <v/>
      </c>
      <c r="AC34">
        <f>HYPERLINK("https://klasma.github.io/Logging_1273/tillsyn/A 24543-2026 tillsynsbegäran.docx", "A 24543-2026")</f>
        <v/>
      </c>
      <c r="AD34">
        <f>HYPERLINK("https://klasma.github.io/Logging_1273/tillsynsmail/A 24543-2026 tillsynsbegäran mail.docx", "A 24543-2026")</f>
        <v/>
      </c>
    </row>
    <row r="35" ht="15" customHeight="1">
      <c r="A35" t="inlineStr">
        <is>
          <t>A 25909-2026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46178</v>
      </c>
      <c r="E35" s="1" t="n">
        <v>46321</v>
      </c>
      <c r="F35" t="inlineStr">
        <is>
          <t>SKÅNE LÄN</t>
        </is>
      </c>
      <c r="G35" t="inlineStr">
        <is>
          <t>OSBY</t>
        </is>
      </c>
      <c r="I35" t="n">
        <v>2.4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s="2" t="inlineStr">
        <is>
          <t>Kungsfågel</t>
        </is>
      </c>
      <c r="W35">
        <f>HYPERLINK("https://klasma.github.io/Logging_1273/artfynd/A 25909-2026 artfynd.xlsx", "A 25909-2026")</f>
        <v/>
      </c>
      <c r="X35">
        <f>HYPERLINK("https://klasma.github.io/Logging_1273/kartor/A 25909-2026 karta.png", "A 25909-2026")</f>
        <v/>
      </c>
      <c r="Y35">
        <f>HYPERLINK("https://klasma.github.io/Logging_1273/kartor_geotiff/A 25909-2026 georefererad karta.tif", "A 25909-2026")</f>
        <v/>
      </c>
      <c r="AA35">
        <f>HYPERLINK("https://klasma.github.io/Logging_1273/klagomål/A 25909-2026 FSC-klagomål.docx", "A 25909-2026")</f>
        <v/>
      </c>
      <c r="AB35">
        <f>HYPERLINK("https://klasma.github.io/Logging_1273/klagomålsmail/A 25909-2026 FSC-klagomål mail.docx", "A 25909-2026")</f>
        <v/>
      </c>
      <c r="AC35">
        <f>HYPERLINK("https://klasma.github.io/Logging_1273/tillsyn/A 25909-2026 tillsynsbegäran.docx", "A 25909-2026")</f>
        <v/>
      </c>
      <c r="AD35">
        <f>HYPERLINK("https://klasma.github.io/Logging_1273/tillsynsmail/A 25909-2026 tillsynsbegäran mail.docx", "A 25909-2026")</f>
        <v/>
      </c>
    </row>
    <row r="36" ht="15" customHeight="1">
      <c r="A36" t="inlineStr">
        <is>
          <t>A 26457-2026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46183</v>
      </c>
      <c r="E36" s="1" t="n">
        <v>46321</v>
      </c>
      <c r="F36" t="inlineStr">
        <is>
          <t>SKÅNE LÄN</t>
        </is>
      </c>
      <c r="G36" t="inlineStr">
        <is>
          <t>OSBY</t>
        </is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Skogsduva</t>
        </is>
      </c>
      <c r="W36">
        <f>HYPERLINK("https://klasma.github.io/Logging_1273/artfynd/A 26457-2026 artfynd.xlsx", "A 26457-2026")</f>
        <v/>
      </c>
      <c r="X36">
        <f>HYPERLINK("https://klasma.github.io/Logging_1273/kartor/A 26457-2026 karta.png", "A 26457-2026")</f>
        <v/>
      </c>
      <c r="Y36">
        <f>HYPERLINK("https://klasma.github.io/Logging_1273/kartor_geotiff/A 26457-2026 georefererad karta.tif", "A 26457-2026")</f>
        <v/>
      </c>
      <c r="AA36">
        <f>HYPERLINK("https://klasma.github.io/Logging_1273/klagomål/A 26457-2026 FSC-klagomål.docx", "A 26457-2026")</f>
        <v/>
      </c>
      <c r="AB36">
        <f>HYPERLINK("https://klasma.github.io/Logging_1273/klagomålsmail/A 26457-2026 FSC-klagomål mail.docx", "A 26457-2026")</f>
        <v/>
      </c>
      <c r="AC36">
        <f>HYPERLINK("https://klasma.github.io/Logging_1273/tillsyn/A 26457-2026 tillsynsbegäran.docx", "A 26457-2026")</f>
        <v/>
      </c>
      <c r="AD36">
        <f>HYPERLINK("https://klasma.github.io/Logging_1273/tillsynsmail/A 26457-2026 tillsynsbegäran mail.docx", "A 26457-2026")</f>
        <v/>
      </c>
    </row>
    <row r="37" ht="15" customHeight="1">
      <c r="A37" t="inlineStr">
        <is>
          <t>A 27486-2026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46189</v>
      </c>
      <c r="E37" s="1" t="n">
        <v>46321</v>
      </c>
      <c r="F37" t="inlineStr">
        <is>
          <t>SKÅNE LÄN</t>
        </is>
      </c>
      <c r="G37" t="inlineStr">
        <is>
          <t>OSBY</t>
        </is>
      </c>
      <c r="H37" t="inlineStr">
        <is>
          <t>Sveaskog</t>
        </is>
      </c>
      <c r="I37" t="n">
        <v>3.1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Tofsmes</t>
        </is>
      </c>
      <c r="W37">
        <f>HYPERLINK("https://klasma.github.io/Logging_1273/artfynd/A 27486-2026 artfynd.xlsx", "A 27486-2026")</f>
        <v/>
      </c>
      <c r="X37">
        <f>HYPERLINK("https://klasma.github.io/Logging_1273/kartor/A 27486-2026 karta.png", "A 27486-2026")</f>
        <v/>
      </c>
      <c r="Y37">
        <f>HYPERLINK("https://klasma.github.io/Logging_1273/kartor_geotiff/A 27486-2026 georefererad karta.tif", "A 27486-2026")</f>
        <v/>
      </c>
      <c r="AA37">
        <f>HYPERLINK("https://klasma.github.io/Logging_1273/klagomål/A 27486-2026 FSC-klagomål.docx", "A 27486-2026")</f>
        <v/>
      </c>
      <c r="AB37">
        <f>HYPERLINK("https://klasma.github.io/Logging_1273/klagomålsmail/A 27486-2026 FSC-klagomål mail.docx", "A 27486-2026")</f>
        <v/>
      </c>
      <c r="AC37">
        <f>HYPERLINK("https://klasma.github.io/Logging_1273/tillsyn/A 27486-2026 tillsynsbegäran.docx", "A 27486-2026")</f>
        <v/>
      </c>
      <c r="AD37">
        <f>HYPERLINK("https://klasma.github.io/Logging_1273/tillsynsmail/A 27486-2026 tillsynsbegäran mail.docx", "A 27486-2026")</f>
        <v/>
      </c>
    </row>
    <row r="38" ht="15" customHeight="1">
      <c r="A38" t="inlineStr">
        <is>
          <t>A 16837-2023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45033</v>
      </c>
      <c r="E38" s="1" t="n">
        <v>46321</v>
      </c>
      <c r="F38" t="inlineStr">
        <is>
          <t>SKÅNE LÄN</t>
        </is>
      </c>
      <c r="G38" t="inlineStr">
        <is>
          <t>OSBY</t>
        </is>
      </c>
      <c r="I38" t="n">
        <v>0.7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Talltita</t>
        </is>
      </c>
      <c r="W38">
        <f>HYPERLINK("https://klasma.github.io/Logging_1273/artfynd/A 16837-2023 artfynd.xlsx", "A 16837-2023")</f>
        <v/>
      </c>
      <c r="X38">
        <f>HYPERLINK("https://klasma.github.io/Logging_1273/kartor/A 16837-2023 karta.png", "A 16837-2023")</f>
        <v/>
      </c>
      <c r="Y38">
        <f>HYPERLINK("https://klasma.github.io/Logging_1273/kartor_geotiff/A 16837-2023 georefererad karta.tif", "A 16837-2023")</f>
        <v/>
      </c>
      <c r="AA38">
        <f>HYPERLINK("https://klasma.github.io/Logging_1273/klagomål/A 16837-2023 FSC-klagomål.docx", "A 16837-2023")</f>
        <v/>
      </c>
      <c r="AB38">
        <f>HYPERLINK("https://klasma.github.io/Logging_1273/klagomålsmail/A 16837-2023 FSC-klagomål mail.docx", "A 16837-2023")</f>
        <v/>
      </c>
      <c r="AC38">
        <f>HYPERLINK("https://klasma.github.io/Logging_1273/tillsyn/A 16837-2023 tillsynsbegäran.docx", "A 16837-2023")</f>
        <v/>
      </c>
      <c r="AD38">
        <f>HYPERLINK("https://klasma.github.io/Logging_1273/tillsynsmail/A 16837-2023 tillsynsbegäran mail.docx", "A 16837-2023")</f>
        <v/>
      </c>
      <c r="AE38">
        <f>HYPERLINK("https://klasma.github.io/Logging_1273/fåglar/A 16837-2023 prioriterade fågelarter.docx", "A 16837-2023")</f>
        <v/>
      </c>
    </row>
    <row r="39" ht="15" customHeight="1">
      <c r="A39" t="inlineStr">
        <is>
          <t>A 60983-2025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45999</v>
      </c>
      <c r="E39" s="1" t="n">
        <v>46321</v>
      </c>
      <c r="F39" t="inlineStr">
        <is>
          <t>SKÅNE LÄN</t>
        </is>
      </c>
      <c r="G39" t="inlineStr">
        <is>
          <t>OSBY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3</v>
      </c>
      <c r="U39" t="n">
        <v>0</v>
      </c>
      <c r="V39" s="2" t="inlineStr">
        <is>
          <t>Ask</t>
        </is>
      </c>
      <c r="W39">
        <f>HYPERLINK("https://klasma.github.io/Logging_1273/artfynd/A 60983-2025 artfynd.xlsx", "A 60983-2025")</f>
        <v/>
      </c>
      <c r="X39">
        <f>HYPERLINK("https://klasma.github.io/Logging_1273/kartor/A 60983-2025 karta.png", "A 60983-2025")</f>
        <v/>
      </c>
      <c r="Y39">
        <f>HYPERLINK("https://klasma.github.io/Logging_1273/kartor_geotiff/A 60983-2025 georefererad karta.tif", "A 60983-2025")</f>
        <v/>
      </c>
      <c r="AA39">
        <f>HYPERLINK("https://klasma.github.io/Logging_1273/klagomål/A 60983-2025 FSC-klagomål.docx", "A 60983-2025")</f>
        <v/>
      </c>
      <c r="AB39">
        <f>HYPERLINK("https://klasma.github.io/Logging_1273/klagomålsmail/A 60983-2025 FSC-klagomål mail.docx", "A 60983-2025")</f>
        <v/>
      </c>
      <c r="AC39">
        <f>HYPERLINK("https://klasma.github.io/Logging_1273/tillsyn/A 60983-2025 tillsynsbegäran.docx", "A 60983-2025")</f>
        <v/>
      </c>
      <c r="AD39">
        <f>HYPERLINK("https://klasma.github.io/Logging_1273/tillsynsmail/A 60983-2025 tillsynsbegäran mail.docx", "A 60983-2025")</f>
        <v/>
      </c>
    </row>
    <row r="40" ht="15" customHeight="1">
      <c r="A40" t="inlineStr">
        <is>
          <t>A 61738-2024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45649</v>
      </c>
      <c r="E40" s="1" t="n">
        <v>46321</v>
      </c>
      <c r="F40" t="inlineStr">
        <is>
          <t>SKÅNE LÄN</t>
        </is>
      </c>
      <c r="G40" t="inlineStr">
        <is>
          <t>OSBY</t>
        </is>
      </c>
      <c r="I40" t="n">
        <v>3.7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Vanlig snok</t>
        </is>
      </c>
      <c r="W40">
        <f>HYPERLINK("https://klasma.github.io/Logging_1273/artfynd/A 61738-2024 artfynd.xlsx", "A 61738-2024")</f>
        <v/>
      </c>
      <c r="X40">
        <f>HYPERLINK("https://klasma.github.io/Logging_1273/kartor/A 61738-2024 karta.png", "A 61738-2024")</f>
        <v/>
      </c>
      <c r="Y40">
        <f>HYPERLINK("https://klasma.github.io/Logging_1273/kartor_geotiff/A 61738-2024 georefererad karta.tif", "A 61738-2024")</f>
        <v/>
      </c>
      <c r="AA40">
        <f>HYPERLINK("https://klasma.github.io/Logging_1273/klagomål/A 61738-2024 FSC-klagomål.docx", "A 61738-2024")</f>
        <v/>
      </c>
      <c r="AB40">
        <f>HYPERLINK("https://klasma.github.io/Logging_1273/klagomålsmail/A 61738-2024 FSC-klagomål mail.docx", "A 61738-2024")</f>
        <v/>
      </c>
      <c r="AC40">
        <f>HYPERLINK("https://klasma.github.io/Logging_1273/tillsyn/A 61738-2024 tillsynsbegäran.docx", "A 61738-2024")</f>
        <v/>
      </c>
      <c r="AD40">
        <f>HYPERLINK("https://klasma.github.io/Logging_1273/tillsynsmail/A 61738-2024 tillsynsbegäran mail.docx", "A 61738-2024")</f>
        <v/>
      </c>
    </row>
    <row r="41" ht="15" customHeight="1">
      <c r="A41" t="inlineStr">
        <is>
          <t>A 58641-2022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44902</v>
      </c>
      <c r="E41" s="1" t="n">
        <v>46321</v>
      </c>
      <c r="F41" t="inlineStr">
        <is>
          <t>SKÅNE LÄN</t>
        </is>
      </c>
      <c r="G41" t="inlineStr">
        <is>
          <t>OSBY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2</v>
      </c>
      <c r="U41" t="n">
        <v>0</v>
      </c>
      <c r="V41" s="2" t="inlineStr">
        <is>
          <t>Ask</t>
        </is>
      </c>
      <c r="W41">
        <f>HYPERLINK("https://klasma.github.io/Logging_1273/artfynd/A 58641-2022 artfynd.xlsx", "A 58641-2022")</f>
        <v/>
      </c>
      <c r="X41">
        <f>HYPERLINK("https://klasma.github.io/Logging_1273/kartor/A 58641-2022 karta.png", "A 58641-2022")</f>
        <v/>
      </c>
      <c r="Y41">
        <f>HYPERLINK("https://klasma.github.io/Logging_1273/kartor_geotiff/A 58641-2022 georefererad karta.tif", "A 58641-2022")</f>
        <v/>
      </c>
      <c r="AA41">
        <f>HYPERLINK("https://klasma.github.io/Logging_1273/klagomål/A 58641-2022 FSC-klagomål.docx", "A 58641-2022")</f>
        <v/>
      </c>
      <c r="AB41">
        <f>HYPERLINK("https://klasma.github.io/Logging_1273/klagomålsmail/A 58641-2022 FSC-klagomål mail.docx", "A 58641-2022")</f>
        <v/>
      </c>
      <c r="AC41">
        <f>HYPERLINK("https://klasma.github.io/Logging_1273/tillsyn/A 58641-2022 tillsynsbegäran.docx", "A 58641-2022")</f>
        <v/>
      </c>
      <c r="AD41">
        <f>HYPERLINK("https://klasma.github.io/Logging_1273/tillsynsmail/A 58641-2022 tillsynsbegäran mail.docx", "A 58641-2022")</f>
        <v/>
      </c>
    </row>
    <row r="42" ht="15" customHeight="1">
      <c r="A42" t="inlineStr">
        <is>
          <t>A 24720-2025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45799</v>
      </c>
      <c r="E42" s="1" t="n">
        <v>46321</v>
      </c>
      <c r="F42" t="inlineStr">
        <is>
          <t>SKÅNE LÄN</t>
        </is>
      </c>
      <c r="G42" t="inlineStr">
        <is>
          <t>OSBY</t>
        </is>
      </c>
      <c r="I42" t="n">
        <v>0.9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s="2" t="inlineStr">
        <is>
          <t>Ask</t>
        </is>
      </c>
      <c r="W42">
        <f>HYPERLINK("https://klasma.github.io/Logging_1273/artfynd/A 24720-2025 artfynd.xlsx", "A 24720-2025")</f>
        <v/>
      </c>
      <c r="X42">
        <f>HYPERLINK("https://klasma.github.io/Logging_1273/kartor/A 24720-2025 karta.png", "A 24720-2025")</f>
        <v/>
      </c>
      <c r="Y42">
        <f>HYPERLINK("https://klasma.github.io/Logging_1273/kartor_geotiff/A 24720-2025 georefererad karta.tif", "A 24720-2025")</f>
        <v/>
      </c>
      <c r="AA42">
        <f>HYPERLINK("https://klasma.github.io/Logging_1273/klagomål/A 24720-2025 FSC-klagomål.docx", "A 24720-2025")</f>
        <v/>
      </c>
      <c r="AB42">
        <f>HYPERLINK("https://klasma.github.io/Logging_1273/klagomålsmail/A 24720-2025 FSC-klagomål mail.docx", "A 24720-2025")</f>
        <v/>
      </c>
      <c r="AC42">
        <f>HYPERLINK("https://klasma.github.io/Logging_1273/tillsyn/A 24720-2025 tillsynsbegäran.docx", "A 24720-2025")</f>
        <v/>
      </c>
      <c r="AD42">
        <f>HYPERLINK("https://klasma.github.io/Logging_1273/tillsynsmail/A 24720-2025 tillsynsbegäran mail.docx", "A 24720-2025")</f>
        <v/>
      </c>
    </row>
    <row r="43" ht="15" customHeight="1">
      <c r="A43" t="inlineStr">
        <is>
          <t>A 50741-2023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45217</v>
      </c>
      <c r="E43" s="1" t="n">
        <v>46321</v>
      </c>
      <c r="F43" t="inlineStr">
        <is>
          <t>SKÅNE LÄN</t>
        </is>
      </c>
      <c r="G43" t="inlineStr">
        <is>
          <t>OSBY</t>
        </is>
      </c>
      <c r="I43" t="n">
        <v>3.2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Mattlummer</t>
        </is>
      </c>
      <c r="W43">
        <f>HYPERLINK("https://klasma.github.io/Logging_1273/artfynd/A 50741-2023 artfynd.xlsx", "A 50741-2023")</f>
        <v/>
      </c>
      <c r="X43">
        <f>HYPERLINK("https://klasma.github.io/Logging_1273/kartor/A 50741-2023 karta.png", "A 50741-2023")</f>
        <v/>
      </c>
      <c r="Y43">
        <f>HYPERLINK("https://klasma.github.io/Logging_1273/kartor_geotiff/A 50741-2023 georefererad karta.tif", "A 50741-2023")</f>
        <v/>
      </c>
      <c r="AA43">
        <f>HYPERLINK("https://klasma.github.io/Logging_1273/klagomål/A 50741-2023 FSC-klagomål.docx", "A 50741-2023")</f>
        <v/>
      </c>
      <c r="AB43">
        <f>HYPERLINK("https://klasma.github.io/Logging_1273/klagomålsmail/A 50741-2023 FSC-klagomål mail.docx", "A 50741-2023")</f>
        <v/>
      </c>
      <c r="AC43">
        <f>HYPERLINK("https://klasma.github.io/Logging_1273/tillsyn/A 50741-2023 tillsynsbegäran.docx", "A 50741-2023")</f>
        <v/>
      </c>
      <c r="AD43">
        <f>HYPERLINK("https://klasma.github.io/Logging_1273/tillsynsmail/A 50741-2023 tillsynsbegäran mail.docx", "A 50741-2023")</f>
        <v/>
      </c>
    </row>
    <row r="44" ht="15" customHeight="1">
      <c r="A44" t="inlineStr">
        <is>
          <t>A 37500-2026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46275</v>
      </c>
      <c r="E44" s="1" t="n">
        <v>46321</v>
      </c>
      <c r="F44" t="inlineStr">
        <is>
          <t>SKÅNE LÄN</t>
        </is>
      </c>
      <c r="G44" t="inlineStr">
        <is>
          <t>OSBY</t>
        </is>
      </c>
      <c r="H44" t="inlineStr">
        <is>
          <t>Sveaskog</t>
        </is>
      </c>
      <c r="I44" t="n">
        <v>8.4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Tibast</t>
        </is>
      </c>
      <c r="W44">
        <f>HYPERLINK("https://klasma.github.io/Logging_1273/artfynd/A 37500-2026 artfynd.xlsx", "A 37500-2026")</f>
        <v/>
      </c>
      <c r="X44">
        <f>HYPERLINK("https://klasma.github.io/Logging_1273/kartor/A 37500-2026 karta.png", "A 37500-2026")</f>
        <v/>
      </c>
      <c r="Y44">
        <f>HYPERLINK("https://klasma.github.io/Logging_1273/kartor_geotiff/A 37500-2026 georefererad karta.tif", "A 37500-2026")</f>
        <v/>
      </c>
      <c r="AA44">
        <f>HYPERLINK("https://klasma.github.io/Logging_1273/klagomål/A 37500-2026 FSC-klagomål.docx", "A 37500-2026")</f>
        <v/>
      </c>
      <c r="AB44">
        <f>HYPERLINK("https://klasma.github.io/Logging_1273/klagomålsmail/A 37500-2026 FSC-klagomål mail.docx", "A 37500-2026")</f>
        <v/>
      </c>
      <c r="AC44">
        <f>HYPERLINK("https://klasma.github.io/Logging_1273/tillsyn/A 37500-2026 tillsynsbegäran.docx", "A 37500-2026")</f>
        <v/>
      </c>
      <c r="AD44">
        <f>HYPERLINK("https://klasma.github.io/Logging_1273/tillsynsmail/A 37500-2026 tillsynsbegäran mail.docx", "A 37500-2026")</f>
        <v/>
      </c>
    </row>
    <row r="45" ht="15" customHeight="1">
      <c r="A45" t="inlineStr">
        <is>
          <t>A 61517-2022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44910</v>
      </c>
      <c r="E45" s="1" t="n">
        <v>46321</v>
      </c>
      <c r="F45" t="inlineStr">
        <is>
          <t>SKÅNE LÄN</t>
        </is>
      </c>
      <c r="G45" t="inlineStr">
        <is>
          <t>OSBY</t>
        </is>
      </c>
      <c r="H45" t="inlineStr">
        <is>
          <t>Kyrkan</t>
        </is>
      </c>
      <c r="I45" t="n">
        <v>4.4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Blodticka</t>
        </is>
      </c>
      <c r="W45">
        <f>HYPERLINK("https://klasma.github.io/Logging_1273/artfynd/A 61517-2022 artfynd.xlsx", "A 61517-2022")</f>
        <v/>
      </c>
      <c r="X45">
        <f>HYPERLINK("https://klasma.github.io/Logging_1273/kartor/A 61517-2022 karta.png", "A 61517-2022")</f>
        <v/>
      </c>
      <c r="Y45">
        <f>HYPERLINK("https://klasma.github.io/Logging_1273/kartor_geotiff/A 61517-2022 georefererad karta.tif", "A 61517-2022")</f>
        <v/>
      </c>
      <c r="AA45">
        <f>HYPERLINK("https://klasma.github.io/Logging_1273/klagomål/A 61517-2022 FSC-klagomål.docx", "A 61517-2022")</f>
        <v/>
      </c>
      <c r="AB45">
        <f>HYPERLINK("https://klasma.github.io/Logging_1273/klagomålsmail/A 61517-2022 FSC-klagomål mail.docx", "A 61517-2022")</f>
        <v/>
      </c>
      <c r="AC45">
        <f>HYPERLINK("https://klasma.github.io/Logging_1273/tillsyn/A 61517-2022 tillsynsbegäran.docx", "A 61517-2022")</f>
        <v/>
      </c>
      <c r="AD45">
        <f>HYPERLINK("https://klasma.github.io/Logging_1273/tillsynsmail/A 61517-2022 tillsynsbegäran mail.docx", "A 61517-2022")</f>
        <v/>
      </c>
    </row>
    <row r="46" ht="15" customHeight="1">
      <c r="A46" t="inlineStr">
        <is>
          <t>A 59677-2023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45255</v>
      </c>
      <c r="E46" s="1" t="n">
        <v>46321</v>
      </c>
      <c r="F46" t="inlineStr">
        <is>
          <t>SKÅNE LÄN</t>
        </is>
      </c>
      <c r="G46" t="inlineStr">
        <is>
          <t>OSBY</t>
        </is>
      </c>
      <c r="I46" t="n">
        <v>2.4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Grönvit nattviol</t>
        </is>
      </c>
      <c r="W46">
        <f>HYPERLINK("https://klasma.github.io/Logging_1273/artfynd/A 59677-2023 artfynd.xlsx", "A 59677-2023")</f>
        <v/>
      </c>
      <c r="X46">
        <f>HYPERLINK("https://klasma.github.io/Logging_1273/kartor/A 59677-2023 karta.png", "A 59677-2023")</f>
        <v/>
      </c>
      <c r="Y46">
        <f>HYPERLINK("https://klasma.github.io/Logging_1273/kartor_geotiff/A 59677-2023 georefererad karta.tif", "A 59677-2023")</f>
        <v/>
      </c>
      <c r="AA46">
        <f>HYPERLINK("https://klasma.github.io/Logging_1273/klagomål/A 59677-2023 FSC-klagomål.docx", "A 59677-2023")</f>
        <v/>
      </c>
      <c r="AB46">
        <f>HYPERLINK("https://klasma.github.io/Logging_1273/klagomålsmail/A 59677-2023 FSC-klagomål mail.docx", "A 59677-2023")</f>
        <v/>
      </c>
      <c r="AC46">
        <f>HYPERLINK("https://klasma.github.io/Logging_1273/tillsyn/A 59677-2023 tillsynsbegäran.docx", "A 59677-2023")</f>
        <v/>
      </c>
      <c r="AD46">
        <f>HYPERLINK("https://klasma.github.io/Logging_1273/tillsynsmail/A 59677-2023 tillsynsbegäran mail.docx", "A 59677-2023")</f>
        <v/>
      </c>
    </row>
    <row r="47" ht="15" customHeight="1">
      <c r="A47" t="inlineStr">
        <is>
          <t>A 33064-2023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45126</v>
      </c>
      <c r="E47" s="1" t="n">
        <v>46321</v>
      </c>
      <c r="F47" t="inlineStr">
        <is>
          <t>SKÅNE LÄN</t>
        </is>
      </c>
      <c r="G47" t="inlineStr">
        <is>
          <t>OSBY</t>
        </is>
      </c>
      <c r="I47" t="n">
        <v>0.8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s="2" t="inlineStr">
        <is>
          <t>Knärot</t>
        </is>
      </c>
      <c r="W47">
        <f>HYPERLINK("https://klasma.github.io/Logging_1273/artfynd/A 33064-2023 artfynd.xlsx", "A 33064-2023")</f>
        <v/>
      </c>
      <c r="X47">
        <f>HYPERLINK("https://klasma.github.io/Logging_1273/kartor/A 33064-2023 karta.png", "A 33064-2023")</f>
        <v/>
      </c>
      <c r="Y47">
        <f>HYPERLINK("https://klasma.github.io/Logging_1273/kartor_geotiff/A 33064-2023 georefererad karta.tif", "A 33064-2023")</f>
        <v/>
      </c>
      <c r="Z47">
        <f>HYPERLINK("https://klasma.github.io/Logging_1273/knärot/A 33064-2023 karta knärot.png", "A 33064-2023")</f>
        <v/>
      </c>
      <c r="AA47">
        <f>HYPERLINK("https://klasma.github.io/Logging_1273/klagomål/A 33064-2023 FSC-klagomål.docx", "A 33064-2023")</f>
        <v/>
      </c>
      <c r="AB47">
        <f>HYPERLINK("https://klasma.github.io/Logging_1273/klagomålsmail/A 33064-2023 FSC-klagomål mail.docx", "A 33064-2023")</f>
        <v/>
      </c>
      <c r="AC47">
        <f>HYPERLINK("https://klasma.github.io/Logging_1273/tillsyn/A 33064-2023 tillsynsbegäran.docx", "A 33064-2023")</f>
        <v/>
      </c>
      <c r="AD47">
        <f>HYPERLINK("https://klasma.github.io/Logging_1273/tillsynsmail/A 33064-2023 tillsynsbegäran mail.docx", "A 33064-2023")</f>
        <v/>
      </c>
    </row>
    <row r="48" ht="15" customHeight="1">
      <c r="A48" t="inlineStr">
        <is>
          <t>A 13143-2023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45002</v>
      </c>
      <c r="E48" s="1" t="n">
        <v>46321</v>
      </c>
      <c r="F48" t="inlineStr">
        <is>
          <t>SKÅNE LÄN</t>
        </is>
      </c>
      <c r="G48" t="inlineStr">
        <is>
          <t>OSBY</t>
        </is>
      </c>
      <c r="I48" t="n">
        <v>13.5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Klippfrullania</t>
        </is>
      </c>
      <c r="W48">
        <f>HYPERLINK("https://klasma.github.io/Logging_1273/artfynd/A 13143-2023 artfynd.xlsx", "A 13143-2023")</f>
        <v/>
      </c>
      <c r="X48">
        <f>HYPERLINK("https://klasma.github.io/Logging_1273/kartor/A 13143-2023 karta.png", "A 13143-2023")</f>
        <v/>
      </c>
      <c r="Y48">
        <f>HYPERLINK("https://klasma.github.io/Logging_1273/kartor_geotiff/A 13143-2023 georefererad karta.tif", "A 13143-2023")</f>
        <v/>
      </c>
      <c r="AA48">
        <f>HYPERLINK("https://klasma.github.io/Logging_1273/klagomål/A 13143-2023 FSC-klagomål.docx", "A 13143-2023")</f>
        <v/>
      </c>
      <c r="AB48">
        <f>HYPERLINK("https://klasma.github.io/Logging_1273/klagomålsmail/A 13143-2023 FSC-klagomål mail.docx", "A 13143-2023")</f>
        <v/>
      </c>
      <c r="AC48">
        <f>HYPERLINK("https://klasma.github.io/Logging_1273/tillsyn/A 13143-2023 tillsynsbegäran.docx", "A 13143-2023")</f>
        <v/>
      </c>
      <c r="AD48">
        <f>HYPERLINK("https://klasma.github.io/Logging_1273/tillsynsmail/A 13143-2023 tillsynsbegäran mail.docx", "A 13143-2023")</f>
        <v/>
      </c>
    </row>
    <row r="49" ht="15" customHeight="1">
      <c r="A49" t="inlineStr">
        <is>
          <t>A 33486-2022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44788</v>
      </c>
      <c r="E49" s="1" t="n">
        <v>46321</v>
      </c>
      <c r="F49" t="inlineStr">
        <is>
          <t>SKÅNE LÄN</t>
        </is>
      </c>
      <c r="G49" t="inlineStr">
        <is>
          <t>OSBY</t>
        </is>
      </c>
      <c r="I49" t="n">
        <v>7.8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2</v>
      </c>
      <c r="U49" t="n">
        <v>2</v>
      </c>
      <c r="V49" s="2" t="inlineStr">
        <is>
          <t>Sparvuggla</t>
        </is>
      </c>
      <c r="W49">
        <f>HYPERLINK("https://klasma.github.io/Logging_1273/artfynd/A 33486-2022 artfynd.xlsx", "A 33486-2022")</f>
        <v/>
      </c>
      <c r="X49">
        <f>HYPERLINK("https://klasma.github.io/Logging_1273/kartor/A 33486-2022 karta.png", "A 33486-2022")</f>
        <v/>
      </c>
      <c r="Y49">
        <f>HYPERLINK("https://klasma.github.io/Logging_1273/kartor_geotiff/A 33486-2022 georefererad karta.tif", "A 33486-2022")</f>
        <v/>
      </c>
      <c r="AA49">
        <f>HYPERLINK("https://klasma.github.io/Logging_1273/klagomål/A 33486-2022 FSC-klagomål.docx", "A 33486-2022")</f>
        <v/>
      </c>
      <c r="AB49">
        <f>HYPERLINK("https://klasma.github.io/Logging_1273/klagomålsmail/A 33486-2022 FSC-klagomål mail.docx", "A 33486-2022")</f>
        <v/>
      </c>
      <c r="AC49">
        <f>HYPERLINK("https://klasma.github.io/Logging_1273/tillsyn/A 33486-2022 tillsynsbegäran.docx", "A 33486-2022")</f>
        <v/>
      </c>
      <c r="AD49">
        <f>HYPERLINK("https://klasma.github.io/Logging_1273/tillsynsmail/A 33486-2022 tillsynsbegäran mail.docx", "A 33486-2022")</f>
        <v/>
      </c>
      <c r="AE49">
        <f>HYPERLINK("https://klasma.github.io/Logging_1273/fåglar/A 33486-2022 prioriterade fågelarter.docx", "A 33486-2022")</f>
        <v/>
      </c>
    </row>
    <row r="50" ht="15" customHeight="1">
      <c r="A50" t="inlineStr">
        <is>
          <t>A 42027-2023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45177</v>
      </c>
      <c r="E50" s="1" t="n">
        <v>46321</v>
      </c>
      <c r="F50" t="inlineStr">
        <is>
          <t>SKÅNE LÄN</t>
        </is>
      </c>
      <c r="G50" t="inlineStr">
        <is>
          <t>OSBY</t>
        </is>
      </c>
      <c r="H50" t="inlineStr">
        <is>
          <t>Kommuner</t>
        </is>
      </c>
      <c r="I50" t="n">
        <v>2.2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Grovticka</t>
        </is>
      </c>
      <c r="W50">
        <f>HYPERLINK("https://klasma.github.io/Logging_1273/artfynd/A 42027-2023 artfynd.xlsx", "A 42027-2023")</f>
        <v/>
      </c>
      <c r="X50">
        <f>HYPERLINK("https://klasma.github.io/Logging_1273/kartor/A 42027-2023 karta.png", "A 42027-2023")</f>
        <v/>
      </c>
      <c r="Y50">
        <f>HYPERLINK("https://klasma.github.io/Logging_1273/kartor_geotiff/A 42027-2023 georefererad karta.tif", "A 42027-2023")</f>
        <v/>
      </c>
      <c r="AA50">
        <f>HYPERLINK("https://klasma.github.io/Logging_1273/klagomål/A 42027-2023 FSC-klagomål.docx", "A 42027-2023")</f>
        <v/>
      </c>
      <c r="AB50">
        <f>HYPERLINK("https://klasma.github.io/Logging_1273/klagomålsmail/A 42027-2023 FSC-klagomål mail.docx", "A 42027-2023")</f>
        <v/>
      </c>
      <c r="AC50">
        <f>HYPERLINK("https://klasma.github.io/Logging_1273/tillsyn/A 42027-2023 tillsynsbegäran.docx", "A 42027-2023")</f>
        <v/>
      </c>
      <c r="AD50">
        <f>HYPERLINK("https://klasma.github.io/Logging_1273/tillsynsmail/A 42027-2023 tillsynsbegäran mail.docx", "A 42027-2023")</f>
        <v/>
      </c>
    </row>
    <row r="51" ht="15" customHeight="1">
      <c r="A51" t="inlineStr">
        <is>
          <t>A 31722-2023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45117</v>
      </c>
      <c r="E51" s="1" t="n">
        <v>46321</v>
      </c>
      <c r="F51" t="inlineStr">
        <is>
          <t>SKÅNE LÄN</t>
        </is>
      </c>
      <c r="G51" t="inlineStr">
        <is>
          <t>OSBY</t>
        </is>
      </c>
      <c r="I51" t="n">
        <v>0.6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s="2" t="inlineStr">
        <is>
          <t>Klockgentiana</t>
        </is>
      </c>
      <c r="W51">
        <f>HYPERLINK("https://klasma.github.io/Logging_1273/artfynd/A 31722-2023 artfynd.xlsx", "A 31722-2023")</f>
        <v/>
      </c>
      <c r="X51">
        <f>HYPERLINK("https://klasma.github.io/Logging_1273/kartor/A 31722-2023 karta.png", "A 31722-2023")</f>
        <v/>
      </c>
      <c r="Y51">
        <f>HYPERLINK("https://klasma.github.io/Logging_1273/kartor_geotiff/A 31722-2023 georefererad karta.tif", "A 31722-2023")</f>
        <v/>
      </c>
      <c r="AA51">
        <f>HYPERLINK("https://klasma.github.io/Logging_1273/klagomål/A 31722-2023 FSC-klagomål.docx", "A 31722-2023")</f>
        <v/>
      </c>
      <c r="AB51">
        <f>HYPERLINK("https://klasma.github.io/Logging_1273/klagomålsmail/A 31722-2023 FSC-klagomål mail.docx", "A 31722-2023")</f>
        <v/>
      </c>
      <c r="AC51">
        <f>HYPERLINK("https://klasma.github.io/Logging_1273/tillsyn/A 31722-2023 tillsynsbegäran.docx", "A 31722-2023")</f>
        <v/>
      </c>
      <c r="AD51">
        <f>HYPERLINK("https://klasma.github.io/Logging_1273/tillsynsmail/A 31722-2023 tillsynsbegäran mail.docx", "A 31722-2023")</f>
        <v/>
      </c>
    </row>
    <row r="52" ht="15" customHeight="1">
      <c r="A52" t="inlineStr">
        <is>
          <t>A 20227-2022</t>
        </is>
      </c>
      <c r="B52" t="inlineStr">
        <is>
          <t>avverkningsanmälan</t>
        </is>
      </c>
      <c r="C52" t="inlineStr">
        <is>
          <t>Avverkning för att bevara och utveckla /försöksver</t>
        </is>
      </c>
      <c r="D52" s="1" t="n">
        <v>44698</v>
      </c>
      <c r="E52" s="1" t="n">
        <v>46321</v>
      </c>
      <c r="F52" t="inlineStr">
        <is>
          <t>SKÅNE LÄN</t>
        </is>
      </c>
      <c r="G52" t="inlineStr">
        <is>
          <t>OSBY</t>
        </is>
      </c>
      <c r="H52" t="inlineStr">
        <is>
          <t>Kommuner</t>
        </is>
      </c>
      <c r="I52" t="n">
        <v>7.1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2</v>
      </c>
      <c r="U52" t="n">
        <v>2</v>
      </c>
      <c r="V52" s="2" t="inlineStr">
        <is>
          <t>Havsörn</t>
        </is>
      </c>
      <c r="W52">
        <f>HYPERLINK("https://klasma.github.io/Logging_1273/artfynd/A 20227-2022 artfynd.xlsx", "A 20227-2022")</f>
        <v/>
      </c>
      <c r="X52">
        <f>HYPERLINK("https://klasma.github.io/Logging_1273/kartor/A 20227-2022 karta.png", "A 20227-2022")</f>
        <v/>
      </c>
      <c r="Y52">
        <f>HYPERLINK("https://klasma.github.io/Logging_1273/kartor_geotiff/A 20227-2022 georefererad karta.tif", "A 20227-2022")</f>
        <v/>
      </c>
      <c r="AA52">
        <f>HYPERLINK("https://klasma.github.io/Logging_1273/klagomål/A 20227-2022 FSC-klagomål.docx", "A 20227-2022")</f>
        <v/>
      </c>
      <c r="AB52">
        <f>HYPERLINK("https://klasma.github.io/Logging_1273/klagomålsmail/A 20227-2022 FSC-klagomål mail.docx", "A 20227-2022")</f>
        <v/>
      </c>
      <c r="AC52">
        <f>HYPERLINK("https://klasma.github.io/Logging_1273/tillsyn/A 20227-2022 tillsynsbegäran.docx", "A 20227-2022")</f>
        <v/>
      </c>
      <c r="AD52">
        <f>HYPERLINK("https://klasma.github.io/Logging_1273/tillsynsmail/A 20227-2022 tillsynsbegäran mail.docx", "A 20227-2022")</f>
        <v/>
      </c>
      <c r="AE52">
        <f>HYPERLINK("https://klasma.github.io/Logging_1273/fåglar/A 20227-2022 prioriterade fågelarter.docx", "A 20227-2022")</f>
        <v/>
      </c>
    </row>
    <row r="53" ht="15" customHeight="1">
      <c r="A53" t="inlineStr">
        <is>
          <t>S 4468-2023</t>
        </is>
      </c>
      <c r="B53" t="inlineStr">
        <is>
          <t>samrådsanmälan</t>
        </is>
      </c>
      <c r="C53" t="inlineStr">
        <is>
          <t>Askåterföring</t>
        </is>
      </c>
      <c r="D53" s="1" t="n">
        <v>45272</v>
      </c>
      <c r="E53" s="1" t="n">
        <v>46321</v>
      </c>
      <c r="F53" t="inlineStr">
        <is>
          <t>SKÅNE LÄN</t>
        </is>
      </c>
      <c r="G53" t="inlineStr">
        <is>
          <t>OSBY</t>
        </is>
      </c>
      <c r="I53" t="n">
        <v>15.8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s="2" t="inlineStr">
        <is>
          <t>Ask</t>
        </is>
      </c>
      <c r="W53">
        <f>HYPERLINK("https://klasma.github.io/Logging_1273/artfynd/S 4468-2023 artfynd.xlsx", "S 4468-2023")</f>
        <v/>
      </c>
      <c r="X53">
        <f>HYPERLINK("https://klasma.github.io/Logging_1273/kartor/S 4468-2023 karta.png", "S 4468-2023")</f>
        <v/>
      </c>
      <c r="Y53">
        <f>HYPERLINK("https://klasma.github.io/Logging_1273/kartor_geotiff/S 4468-2023 georefererad karta.tif", "S 4468-2023")</f>
        <v/>
      </c>
      <c r="AA53">
        <f>HYPERLINK("https://klasma.github.io/Logging_1273/klagomål/S 4468-2023 FSC-klagomål.docx", "S 4468-2023")</f>
        <v/>
      </c>
      <c r="AB53">
        <f>HYPERLINK("https://klasma.github.io/Logging_1273/klagomålsmail/S 4468-2023 FSC-klagomål mail.docx", "S 4468-2023")</f>
        <v/>
      </c>
      <c r="AC53">
        <f>HYPERLINK("https://klasma.github.io/Logging_1273/tillsyn/S 4468-2023 tillsynsbegäran.docx", "S 4468-2023")</f>
        <v/>
      </c>
      <c r="AD53">
        <f>HYPERLINK("https://klasma.github.io/Logging_1273/tillsynsmail/S 4468-2023 tillsynsbegäran mail.docx", "S 4468-2023")</f>
        <v/>
      </c>
    </row>
    <row r="54" ht="15" customHeight="1">
      <c r="A54" t="inlineStr">
        <is>
          <t>S 3117-2023</t>
        </is>
      </c>
      <c r="B54" t="inlineStr">
        <is>
          <t>samrådsanmälan</t>
        </is>
      </c>
      <c r="C54" t="inlineStr">
        <is>
          <t>Askåterföring</t>
        </is>
      </c>
      <c r="D54" s="1" t="n">
        <v>45182</v>
      </c>
      <c r="E54" s="1" t="n">
        <v>46321</v>
      </c>
      <c r="F54" t="inlineStr">
        <is>
          <t>SKÅNE LÄN</t>
        </is>
      </c>
      <c r="G54" t="inlineStr">
        <is>
          <t>OSBY</t>
        </is>
      </c>
      <c r="H54" t="inlineStr">
        <is>
          <t>Kommuner</t>
        </is>
      </c>
      <c r="I54" t="n">
        <v>16.4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s="2" t="inlineStr">
        <is>
          <t>Igelkott</t>
        </is>
      </c>
      <c r="W54">
        <f>HYPERLINK("https://klasma.github.io/Logging_1273/artfynd/S 3117-2023 artfynd.xlsx", "S 3117-2023")</f>
        <v/>
      </c>
      <c r="X54">
        <f>HYPERLINK("https://klasma.github.io/Logging_1273/kartor/S 3117-2023 karta.png", "S 3117-2023")</f>
        <v/>
      </c>
      <c r="Y54">
        <f>HYPERLINK("https://klasma.github.io/Logging_1273/kartor_geotiff/S 3117-2023 georefererad karta.tif", "S 3117-2023")</f>
        <v/>
      </c>
      <c r="AA54">
        <f>HYPERLINK("https://klasma.github.io/Logging_1273/klagomål/S 3117-2023 FSC-klagomål.docx", "S 3117-2023")</f>
        <v/>
      </c>
      <c r="AB54">
        <f>HYPERLINK("https://klasma.github.io/Logging_1273/klagomålsmail/S 3117-2023 FSC-klagomål mail.docx", "S 3117-2023")</f>
        <v/>
      </c>
      <c r="AC54">
        <f>HYPERLINK("https://klasma.github.io/Logging_1273/tillsyn/S 3117-2023 tillsynsbegäran.docx", "S 3117-2023")</f>
        <v/>
      </c>
      <c r="AD54">
        <f>HYPERLINK("https://klasma.github.io/Logging_1273/tillsynsmail/S 3117-2023 tillsynsbegäran mail.docx", "S 3117-2023")</f>
        <v/>
      </c>
    </row>
    <row r="55" ht="15" customHeight="1">
      <c r="A55" t="inlineStr">
        <is>
          <t>S 4760-2022</t>
        </is>
      </c>
      <c r="B55" t="inlineStr">
        <is>
          <t>samrådsanmälan</t>
        </is>
      </c>
      <c r="C55" t="inlineStr">
        <is>
          <t>Askåterföring</t>
        </is>
      </c>
      <c r="D55" s="1" t="n">
        <v>44802</v>
      </c>
      <c r="E55" s="1" t="n">
        <v>46321</v>
      </c>
      <c r="F55" t="inlineStr">
        <is>
          <t>SKÅNE LÄN</t>
        </is>
      </c>
      <c r="G55" t="inlineStr">
        <is>
          <t>OSBY</t>
        </is>
      </c>
      <c r="H55" t="inlineStr">
        <is>
          <t>Kyrkan</t>
        </is>
      </c>
      <c r="I55" t="n">
        <v>21.3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Svinrot</t>
        </is>
      </c>
      <c r="W55">
        <f>HYPERLINK("https://klasma.github.io/Logging_1273/artfynd/S 4760-2022 artfynd.xlsx", "S 4760-2022")</f>
        <v/>
      </c>
      <c r="X55">
        <f>HYPERLINK("https://klasma.github.io/Logging_1273/kartor/S 4760-2022 karta.png", "S 4760-2022")</f>
        <v/>
      </c>
      <c r="Y55">
        <f>HYPERLINK("https://klasma.github.io/Logging_1273/kartor_geotiff/S 4760-2022 georefererad karta.tif", "S 4760-2022")</f>
        <v/>
      </c>
      <c r="AA55">
        <f>HYPERLINK("https://klasma.github.io/Logging_1273/klagomål/S 4760-2022 FSC-klagomål.docx", "S 4760-2022")</f>
        <v/>
      </c>
      <c r="AB55">
        <f>HYPERLINK("https://klasma.github.io/Logging_1273/klagomålsmail/S 4760-2022 FSC-klagomål mail.docx", "S 4760-2022")</f>
        <v/>
      </c>
      <c r="AC55">
        <f>HYPERLINK("https://klasma.github.io/Logging_1273/tillsyn/S 4760-2022 tillsynsbegäran.docx", "S 4760-2022")</f>
        <v/>
      </c>
      <c r="AD55">
        <f>HYPERLINK("https://klasma.github.io/Logging_1273/tillsynsmail/S 4760-2022 tillsynsbegäran mail.docx", "S 4760-2022")</f>
        <v/>
      </c>
    </row>
    <row r="56" ht="15" customHeight="1">
      <c r="A56" t="inlineStr">
        <is>
          <t>S 1980-2024</t>
        </is>
      </c>
      <c r="B56" t="inlineStr">
        <is>
          <t>samrådsanmälan</t>
        </is>
      </c>
      <c r="C56" t="inlineStr">
        <is>
          <t>Askåterföring</t>
        </is>
      </c>
      <c r="D56" s="1" t="n">
        <v>45446</v>
      </c>
      <c r="E56" s="1" t="n">
        <v>46321</v>
      </c>
      <c r="F56" t="inlineStr">
        <is>
          <t>SKÅNE LÄN</t>
        </is>
      </c>
      <c r="G56" t="inlineStr">
        <is>
          <t>OSBY</t>
        </is>
      </c>
      <c r="I56" t="n">
        <v>42.4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Mattlummer</t>
        </is>
      </c>
      <c r="W56">
        <f>HYPERLINK("https://klasma.github.io/Logging_1273/artfynd/S 1980-2024 artfynd.xlsx", "S 1980-2024")</f>
        <v/>
      </c>
      <c r="X56">
        <f>HYPERLINK("https://klasma.github.io/Logging_1273/kartor/S 1980-2024 karta.png", "S 1980-2024")</f>
        <v/>
      </c>
      <c r="Y56">
        <f>HYPERLINK("https://klasma.github.io/Logging_1273/kartor_geotiff/S 1980-2024 georefererad karta.tif", "S 1980-2024")</f>
        <v/>
      </c>
      <c r="AA56">
        <f>HYPERLINK("https://klasma.github.io/Logging_1273/klagomål/S 1980-2024 FSC-klagomål.docx", "S 1980-2024")</f>
        <v/>
      </c>
      <c r="AB56">
        <f>HYPERLINK("https://klasma.github.io/Logging_1273/klagomålsmail/S 1980-2024 FSC-klagomål mail.docx", "S 1980-2024")</f>
        <v/>
      </c>
      <c r="AC56">
        <f>HYPERLINK("https://klasma.github.io/Logging_1273/tillsyn/S 1980-2024 tillsynsbegäran.docx", "S 1980-2024")</f>
        <v/>
      </c>
      <c r="AD56">
        <f>HYPERLINK("https://klasma.github.io/Logging_1273/tillsynsmail/S 1980-2024 tillsynsbegäran mail.docx", "S 1980-2024")</f>
        <v/>
      </c>
    </row>
    <row r="57" ht="15" customHeight="1">
      <c r="A57" t="inlineStr">
        <is>
          <t>S 883-2025</t>
        </is>
      </c>
      <c r="B57" t="inlineStr">
        <is>
          <t>samrådsanmälan</t>
        </is>
      </c>
      <c r="C57" t="inlineStr">
        <is>
          <t>Askåterföring</t>
        </is>
      </c>
      <c r="D57" s="1" t="n">
        <v>45735</v>
      </c>
      <c r="E57" s="1" t="n">
        <v>46321</v>
      </c>
      <c r="F57" t="inlineStr">
        <is>
          <t>SKÅNE LÄN</t>
        </is>
      </c>
      <c r="G57" t="inlineStr">
        <is>
          <t>OSBY</t>
        </is>
      </c>
      <c r="I57" t="n">
        <v>55.1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Grönhjon</t>
        </is>
      </c>
      <c r="W57">
        <f>HYPERLINK("https://klasma.github.io/Logging_1273/artfynd/S 883-2025 artfynd.xlsx", "S 883-2025")</f>
        <v/>
      </c>
      <c r="X57">
        <f>HYPERLINK("https://klasma.github.io/Logging_1273/kartor/S 883-2025 karta.png", "S 883-2025")</f>
        <v/>
      </c>
      <c r="Y57">
        <f>HYPERLINK("https://klasma.github.io/Logging_1273/kartor_geotiff/S 883-2025 georefererad karta.tif", "S 883-2025")</f>
        <v/>
      </c>
      <c r="AA57">
        <f>HYPERLINK("https://klasma.github.io/Logging_1273/klagomål/S 883-2025 FSC-klagomål.docx", "S 883-2025")</f>
        <v/>
      </c>
      <c r="AB57">
        <f>HYPERLINK("https://klasma.github.io/Logging_1273/klagomålsmail/S 883-2025 FSC-klagomål mail.docx", "S 883-2025")</f>
        <v/>
      </c>
      <c r="AC57">
        <f>HYPERLINK("https://klasma.github.io/Logging_1273/tillsyn/S 883-2025 tillsynsbegäran.docx", "S 883-2025")</f>
        <v/>
      </c>
      <c r="AD57">
        <f>HYPERLINK("https://klasma.github.io/Logging_1273/tillsynsmail/S 883-2025 tillsynsbegäran mail.docx", "S 883-2025")</f>
        <v/>
      </c>
    </row>
    <row r="58" ht="15" customHeight="1">
      <c r="A58" t="inlineStr">
        <is>
          <t>A 3646-2022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44586</v>
      </c>
      <c r="E58" s="1" t="n">
        <v>46321</v>
      </c>
      <c r="F58" t="inlineStr">
        <is>
          <t>SKÅNE LÄN</t>
        </is>
      </c>
      <c r="G58" t="inlineStr">
        <is>
          <t>OSBY</t>
        </is>
      </c>
      <c r="I58" t="n">
        <v>1.7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73927-2021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44553</v>
      </c>
      <c r="E59" s="1" t="n">
        <v>46321</v>
      </c>
      <c r="F59" t="inlineStr">
        <is>
          <t>SKÅNE LÄN</t>
        </is>
      </c>
      <c r="G59" t="inlineStr">
        <is>
          <t>OSBY</t>
        </is>
      </c>
      <c r="I59" t="n">
        <v>1.3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67332-2021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44523</v>
      </c>
      <c r="E60" s="1" t="n">
        <v>46321</v>
      </c>
      <c r="F60" t="inlineStr">
        <is>
          <t>SKÅNE LÄN</t>
        </is>
      </c>
      <c r="G60" t="inlineStr">
        <is>
          <t>OSBY</t>
        </is>
      </c>
      <c r="I60" t="n">
        <v>0.6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2442-2022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44579</v>
      </c>
      <c r="E61" s="1" t="n">
        <v>46321</v>
      </c>
      <c r="F61" t="inlineStr">
        <is>
          <t>SKÅNE LÄN</t>
        </is>
      </c>
      <c r="G61" t="inlineStr">
        <is>
          <t>OSBY</t>
        </is>
      </c>
      <c r="I61" t="n">
        <v>2.8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19437-2022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44693</v>
      </c>
      <c r="E62" s="1" t="n">
        <v>46321</v>
      </c>
      <c r="F62" t="inlineStr">
        <is>
          <t>SKÅNE LÄN</t>
        </is>
      </c>
      <c r="G62" t="inlineStr">
        <is>
          <t>OSBY</t>
        </is>
      </c>
      <c r="I62" t="n">
        <v>2.5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45447-2022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44845</v>
      </c>
      <c r="E63" s="1" t="n">
        <v>46321</v>
      </c>
      <c r="F63" t="inlineStr">
        <is>
          <t>SKÅNE LÄN</t>
        </is>
      </c>
      <c r="G63" t="inlineStr">
        <is>
          <t>OSBY</t>
        </is>
      </c>
      <c r="I63" t="n">
        <v>0.6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51508-2022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44869</v>
      </c>
      <c r="E64" s="1" t="n">
        <v>46321</v>
      </c>
      <c r="F64" t="inlineStr">
        <is>
          <t>SKÅNE LÄN</t>
        </is>
      </c>
      <c r="G64" t="inlineStr">
        <is>
          <t>OSBY</t>
        </is>
      </c>
      <c r="I64" t="n">
        <v>0.4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42153-2022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44830</v>
      </c>
      <c r="E65" s="1" t="n">
        <v>46321</v>
      </c>
      <c r="F65" t="inlineStr">
        <is>
          <t>SKÅNE LÄN</t>
        </is>
      </c>
      <c r="G65" t="inlineStr">
        <is>
          <t>OSBY</t>
        </is>
      </c>
      <c r="I65" t="n">
        <v>4.9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6964-2022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44603</v>
      </c>
      <c r="E66" s="1" t="n">
        <v>46321</v>
      </c>
      <c r="F66" t="inlineStr">
        <is>
          <t>SKÅNE LÄN</t>
        </is>
      </c>
      <c r="G66" t="inlineStr">
        <is>
          <t>OSBY</t>
        </is>
      </c>
      <c r="I66" t="n">
        <v>1.5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41560-2022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44827</v>
      </c>
      <c r="E67" s="1" t="n">
        <v>46321</v>
      </c>
      <c r="F67" t="inlineStr">
        <is>
          <t>SKÅNE LÄN</t>
        </is>
      </c>
      <c r="G67" t="inlineStr">
        <is>
          <t>OSBY</t>
        </is>
      </c>
      <c r="I67" t="n">
        <v>3.2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67222-2021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44523</v>
      </c>
      <c r="E68" s="1" t="n">
        <v>46321</v>
      </c>
      <c r="F68" t="inlineStr">
        <is>
          <t>SKÅNE LÄN</t>
        </is>
      </c>
      <c r="G68" t="inlineStr">
        <is>
          <t>OSBY</t>
        </is>
      </c>
      <c r="I68" t="n">
        <v>2.4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66987-2021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44522</v>
      </c>
      <c r="E69" s="1" t="n">
        <v>46321</v>
      </c>
      <c r="F69" t="inlineStr">
        <is>
          <t>SKÅNE LÄN</t>
        </is>
      </c>
      <c r="G69" t="inlineStr">
        <is>
          <t>OSBY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18590-2022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44687</v>
      </c>
      <c r="E70" s="1" t="n">
        <v>46321</v>
      </c>
      <c r="F70" t="inlineStr">
        <is>
          <t>SKÅNE LÄN</t>
        </is>
      </c>
      <c r="G70" t="inlineStr">
        <is>
          <t>OSBY</t>
        </is>
      </c>
      <c r="I70" t="n">
        <v>0.6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13903-2022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44650</v>
      </c>
      <c r="E71" s="1" t="n">
        <v>46321</v>
      </c>
      <c r="F71" t="inlineStr">
        <is>
          <t>SKÅNE LÄN</t>
        </is>
      </c>
      <c r="G71" t="inlineStr">
        <is>
          <t>OSBY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38629-2022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44813</v>
      </c>
      <c r="E72" s="1" t="n">
        <v>46321</v>
      </c>
      <c r="F72" t="inlineStr">
        <is>
          <t>SKÅNE LÄN</t>
        </is>
      </c>
      <c r="G72" t="inlineStr">
        <is>
          <t>OSBY</t>
        </is>
      </c>
      <c r="H72" t="inlineStr">
        <is>
          <t>Kyrkan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19750-2022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44694</v>
      </c>
      <c r="E73" s="1" t="n">
        <v>46321</v>
      </c>
      <c r="F73" t="inlineStr">
        <is>
          <t>SKÅNE LÄN</t>
        </is>
      </c>
      <c r="G73" t="inlineStr">
        <is>
          <t>OSBY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28174-2022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44746</v>
      </c>
      <c r="E74" s="1" t="n">
        <v>46321</v>
      </c>
      <c r="F74" t="inlineStr">
        <is>
          <t>SKÅNE LÄN</t>
        </is>
      </c>
      <c r="G74" t="inlineStr">
        <is>
          <t>OSBY</t>
        </is>
      </c>
      <c r="H74" t="inlineStr">
        <is>
          <t>Kyrkan</t>
        </is>
      </c>
      <c r="I74" t="n">
        <v>1.4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1310-2022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44572</v>
      </c>
      <c r="E75" s="1" t="n">
        <v>46321</v>
      </c>
      <c r="F75" t="inlineStr">
        <is>
          <t>SKÅNE LÄN</t>
        </is>
      </c>
      <c r="G75" t="inlineStr">
        <is>
          <t>OSBY</t>
        </is>
      </c>
      <c r="I75" t="n">
        <v>3.4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38632-2022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44813</v>
      </c>
      <c r="E76" s="1" t="n">
        <v>46321</v>
      </c>
      <c r="F76" t="inlineStr">
        <is>
          <t>SKÅNE LÄN</t>
        </is>
      </c>
      <c r="G76" t="inlineStr">
        <is>
          <t>OSBY</t>
        </is>
      </c>
      <c r="H76" t="inlineStr">
        <is>
          <t>Kyrkan</t>
        </is>
      </c>
      <c r="I76" t="n">
        <v>2.2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38647-2022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44813</v>
      </c>
      <c r="E77" s="1" t="n">
        <v>46321</v>
      </c>
      <c r="F77" t="inlineStr">
        <is>
          <t>SKÅNE LÄN</t>
        </is>
      </c>
      <c r="G77" t="inlineStr">
        <is>
          <t>OSBY</t>
        </is>
      </c>
      <c r="H77" t="inlineStr">
        <is>
          <t>Kyrkan</t>
        </is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68487-2021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44529</v>
      </c>
      <c r="E78" s="1" t="n">
        <v>46321</v>
      </c>
      <c r="F78" t="inlineStr">
        <is>
          <t>SKÅNE LÄN</t>
        </is>
      </c>
      <c r="G78" t="inlineStr">
        <is>
          <t>OSBY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30751-2022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44764</v>
      </c>
      <c r="E79" s="1" t="n">
        <v>46321</v>
      </c>
      <c r="F79" t="inlineStr">
        <is>
          <t>SKÅNE LÄN</t>
        </is>
      </c>
      <c r="G79" t="inlineStr">
        <is>
          <t>OSBY</t>
        </is>
      </c>
      <c r="I79" t="n">
        <v>0.7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30564-2022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44762</v>
      </c>
      <c r="E80" s="1" t="n">
        <v>46321</v>
      </c>
      <c r="F80" t="inlineStr">
        <is>
          <t>SKÅNE LÄN</t>
        </is>
      </c>
      <c r="G80" t="inlineStr">
        <is>
          <t>OSBY</t>
        </is>
      </c>
      <c r="I80" t="n">
        <v>0.8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64141-2021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44510</v>
      </c>
      <c r="E81" s="1" t="n">
        <v>46321</v>
      </c>
      <c r="F81" t="inlineStr">
        <is>
          <t>SKÅNE LÄN</t>
        </is>
      </c>
      <c r="G81" t="inlineStr">
        <is>
          <t>OSBY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64144-2021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44510</v>
      </c>
      <c r="E82" s="1" t="n">
        <v>46321</v>
      </c>
      <c r="F82" t="inlineStr">
        <is>
          <t>SKÅNE LÄN</t>
        </is>
      </c>
      <c r="G82" t="inlineStr">
        <is>
          <t>OSBY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1899-2022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44575</v>
      </c>
      <c r="E83" s="1" t="n">
        <v>46321</v>
      </c>
      <c r="F83" t="inlineStr">
        <is>
          <t>SKÅNE LÄN</t>
        </is>
      </c>
      <c r="G83" t="inlineStr">
        <is>
          <t>OSBY</t>
        </is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5569-2022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44595</v>
      </c>
      <c r="E84" s="1" t="n">
        <v>46321</v>
      </c>
      <c r="F84" t="inlineStr">
        <is>
          <t>SKÅNE LÄN</t>
        </is>
      </c>
      <c r="G84" t="inlineStr">
        <is>
          <t>OSBY</t>
        </is>
      </c>
      <c r="I84" t="n">
        <v>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65644-2021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44516</v>
      </c>
      <c r="E85" s="1" t="n">
        <v>46321</v>
      </c>
      <c r="F85" t="inlineStr">
        <is>
          <t>SKÅNE LÄN</t>
        </is>
      </c>
      <c r="G85" t="inlineStr">
        <is>
          <t>OSBY</t>
        </is>
      </c>
      <c r="I85" t="n">
        <v>6.4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63135-2021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44505</v>
      </c>
      <c r="E86" s="1" t="n">
        <v>46321</v>
      </c>
      <c r="F86" t="inlineStr">
        <is>
          <t>SKÅNE LÄN</t>
        </is>
      </c>
      <c r="G86" t="inlineStr">
        <is>
          <t>OSBY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37073-2022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44806</v>
      </c>
      <c r="E87" s="1" t="n">
        <v>46321</v>
      </c>
      <c r="F87" t="inlineStr">
        <is>
          <t>SKÅNE LÄN</t>
        </is>
      </c>
      <c r="G87" t="inlineStr">
        <is>
          <t>OSBY</t>
        </is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25305-2022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44731</v>
      </c>
      <c r="E88" s="1" t="n">
        <v>46321</v>
      </c>
      <c r="F88" t="inlineStr">
        <is>
          <t>SKÅNE LÄN</t>
        </is>
      </c>
      <c r="G88" t="inlineStr">
        <is>
          <t>OSBY</t>
        </is>
      </c>
      <c r="I88" t="n">
        <v>0.9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8370-2022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44610</v>
      </c>
      <c r="E89" s="1" t="n">
        <v>46321</v>
      </c>
      <c r="F89" t="inlineStr">
        <is>
          <t>SKÅNE LÄN</t>
        </is>
      </c>
      <c r="G89" t="inlineStr">
        <is>
          <t>OSBY</t>
        </is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74073-2021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44557</v>
      </c>
      <c r="E90" s="1" t="n">
        <v>46321</v>
      </c>
      <c r="F90" t="inlineStr">
        <is>
          <t>SKÅNE LÄN</t>
        </is>
      </c>
      <c r="G90" t="inlineStr">
        <is>
          <t>OSBY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45108-2022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44843</v>
      </c>
      <c r="E91" s="1" t="n">
        <v>46321</v>
      </c>
      <c r="F91" t="inlineStr">
        <is>
          <t>SKÅNE LÄN</t>
        </is>
      </c>
      <c r="G91" t="inlineStr">
        <is>
          <t>OSBY</t>
        </is>
      </c>
      <c r="I91" t="n">
        <v>1.3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8248-2022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44609</v>
      </c>
      <c r="E92" s="1" t="n">
        <v>46321</v>
      </c>
      <c r="F92" t="inlineStr">
        <is>
          <t>SKÅNE LÄN</t>
        </is>
      </c>
      <c r="G92" t="inlineStr">
        <is>
          <t>OSBY</t>
        </is>
      </c>
      <c r="H92" t="inlineStr">
        <is>
          <t>Kyrkan</t>
        </is>
      </c>
      <c r="I92" t="n">
        <v>8.9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20634-2022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44700</v>
      </c>
      <c r="E93" s="1" t="n">
        <v>46321</v>
      </c>
      <c r="F93" t="inlineStr">
        <is>
          <t>SKÅNE LÄN</t>
        </is>
      </c>
      <c r="G93" t="inlineStr">
        <is>
          <t>OSBY</t>
        </is>
      </c>
      <c r="I93" t="n">
        <v>1.5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15570-2022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44662</v>
      </c>
      <c r="E94" s="1" t="n">
        <v>46321</v>
      </c>
      <c r="F94" t="inlineStr">
        <is>
          <t>SKÅNE LÄN</t>
        </is>
      </c>
      <c r="G94" t="inlineStr">
        <is>
          <t>OSBY</t>
        </is>
      </c>
      <c r="I94" t="n">
        <v>4.6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42031-2022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44830</v>
      </c>
      <c r="E95" s="1" t="n">
        <v>46321</v>
      </c>
      <c r="F95" t="inlineStr">
        <is>
          <t>SKÅNE LÄN</t>
        </is>
      </c>
      <c r="G95" t="inlineStr">
        <is>
          <t>OSBY</t>
        </is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42034-2022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44830</v>
      </c>
      <c r="E96" s="1" t="n">
        <v>46321</v>
      </c>
      <c r="F96" t="inlineStr">
        <is>
          <t>SKÅNE LÄN</t>
        </is>
      </c>
      <c r="G96" t="inlineStr">
        <is>
          <t>OSBY</t>
        </is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42497-2022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44831</v>
      </c>
      <c r="E97" s="1" t="n">
        <v>46321</v>
      </c>
      <c r="F97" t="inlineStr">
        <is>
          <t>SKÅNE LÄN</t>
        </is>
      </c>
      <c r="G97" t="inlineStr">
        <is>
          <t>OSBY</t>
        </is>
      </c>
      <c r="I97" t="n">
        <v>1.8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40524-2022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44823</v>
      </c>
      <c r="E98" s="1" t="n">
        <v>46321</v>
      </c>
      <c r="F98" t="inlineStr">
        <is>
          <t>SKÅNE LÄN</t>
        </is>
      </c>
      <c r="G98" t="inlineStr">
        <is>
          <t>OSBY</t>
        </is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73920-2021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44553</v>
      </c>
      <c r="E99" s="1" t="n">
        <v>46321</v>
      </c>
      <c r="F99" t="inlineStr">
        <is>
          <t>SKÅNE LÄN</t>
        </is>
      </c>
      <c r="G99" t="inlineStr">
        <is>
          <t>OSBY</t>
        </is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8794-2022</t>
        </is>
      </c>
      <c r="B100" t="inlineStr">
        <is>
          <t>avverkningsanmälan</t>
        </is>
      </c>
      <c r="C100" t="inlineStr">
        <is>
          <t>Avverkning för annat ändamål</t>
        </is>
      </c>
      <c r="D100" s="1" t="n">
        <v>44614</v>
      </c>
      <c r="E100" s="1" t="n">
        <v>46321</v>
      </c>
      <c r="F100" t="inlineStr">
        <is>
          <t>SKÅNE LÄN</t>
        </is>
      </c>
      <c r="G100" t="inlineStr">
        <is>
          <t>OSBY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33489-2022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44788</v>
      </c>
      <c r="E101" s="1" t="n">
        <v>46321</v>
      </c>
      <c r="F101" t="inlineStr">
        <is>
          <t>SKÅNE LÄN</t>
        </is>
      </c>
      <c r="G101" t="inlineStr">
        <is>
          <t>OSBY</t>
        </is>
      </c>
      <c r="I101" t="n">
        <v>1.9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36899-2022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44805</v>
      </c>
      <c r="E102" s="1" t="n">
        <v>46321</v>
      </c>
      <c r="F102" t="inlineStr">
        <is>
          <t>SKÅNE LÄN</t>
        </is>
      </c>
      <c r="G102" t="inlineStr">
        <is>
          <t>OSBY</t>
        </is>
      </c>
      <c r="I102" t="n">
        <v>6.2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10372-2022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44623</v>
      </c>
      <c r="E103" s="1" t="n">
        <v>46321</v>
      </c>
      <c r="F103" t="inlineStr">
        <is>
          <t>SKÅNE LÄN</t>
        </is>
      </c>
      <c r="G103" t="inlineStr">
        <is>
          <t>OSBY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33487-2022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44788</v>
      </c>
      <c r="E104" s="1" t="n">
        <v>46321</v>
      </c>
      <c r="F104" t="inlineStr">
        <is>
          <t>SKÅNE LÄN</t>
        </is>
      </c>
      <c r="G104" t="inlineStr">
        <is>
          <t>OSBY</t>
        </is>
      </c>
      <c r="I104" t="n">
        <v>7.9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23601-2022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44721</v>
      </c>
      <c r="E105" s="1" t="n">
        <v>46321</v>
      </c>
      <c r="F105" t="inlineStr">
        <is>
          <t>SKÅNE LÄN</t>
        </is>
      </c>
      <c r="G105" t="inlineStr">
        <is>
          <t>OSBY</t>
        </is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43175-2022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44834</v>
      </c>
      <c r="E106" s="1" t="n">
        <v>46321</v>
      </c>
      <c r="F106" t="inlineStr">
        <is>
          <t>SKÅNE LÄN</t>
        </is>
      </c>
      <c r="G106" t="inlineStr">
        <is>
          <t>OSBY</t>
        </is>
      </c>
      <c r="I106" t="n">
        <v>0.7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8371-2022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44610</v>
      </c>
      <c r="E107" s="1" t="n">
        <v>46321</v>
      </c>
      <c r="F107" t="inlineStr">
        <is>
          <t>SKÅNE LÄN</t>
        </is>
      </c>
      <c r="G107" t="inlineStr">
        <is>
          <t>OSBY</t>
        </is>
      </c>
      <c r="I107" t="n">
        <v>1.3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1466-2022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44573</v>
      </c>
      <c r="E108" s="1" t="n">
        <v>46321</v>
      </c>
      <c r="F108" t="inlineStr">
        <is>
          <t>SKÅNE LÄN</t>
        </is>
      </c>
      <c r="G108" t="inlineStr">
        <is>
          <t>OSBY</t>
        </is>
      </c>
      <c r="H108" t="inlineStr">
        <is>
          <t>Kyrkan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1607-2022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44573</v>
      </c>
      <c r="E109" s="1" t="n">
        <v>46321</v>
      </c>
      <c r="F109" t="inlineStr">
        <is>
          <t>SKÅNE LÄN</t>
        </is>
      </c>
      <c r="G109" t="inlineStr">
        <is>
          <t>OSBY</t>
        </is>
      </c>
      <c r="H109" t="inlineStr">
        <is>
          <t>Kyrkan</t>
        </is>
      </c>
      <c r="I109" t="n">
        <v>2.8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38697-2025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45884</v>
      </c>
      <c r="E110" s="1" t="n">
        <v>46321</v>
      </c>
      <c r="F110" t="inlineStr">
        <is>
          <t>SKÅNE LÄN</t>
        </is>
      </c>
      <c r="G110" t="inlineStr">
        <is>
          <t>OSBY</t>
        </is>
      </c>
      <c r="I110" t="n">
        <v>3.7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44430-2024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45573</v>
      </c>
      <c r="E111" s="1" t="n">
        <v>46321</v>
      </c>
      <c r="F111" t="inlineStr">
        <is>
          <t>SKÅNE LÄN</t>
        </is>
      </c>
      <c r="G111" t="inlineStr">
        <is>
          <t>OSBY</t>
        </is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29435-2024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45483</v>
      </c>
      <c r="E112" s="1" t="n">
        <v>46321</v>
      </c>
      <c r="F112" t="inlineStr">
        <is>
          <t>SKÅNE LÄN</t>
        </is>
      </c>
      <c r="G112" t="inlineStr">
        <is>
          <t>OSBY</t>
        </is>
      </c>
      <c r="H112" t="inlineStr">
        <is>
          <t>Kommuner</t>
        </is>
      </c>
      <c r="I112" t="n">
        <v>0.7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40395-2024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45555</v>
      </c>
      <c r="E113" s="1" t="n">
        <v>46321</v>
      </c>
      <c r="F113" t="inlineStr">
        <is>
          <t>SKÅNE LÄN</t>
        </is>
      </c>
      <c r="G113" t="inlineStr">
        <is>
          <t>OSBY</t>
        </is>
      </c>
      <c r="I113" t="n">
        <v>3.1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4798-2023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44957</v>
      </c>
      <c r="E114" s="1" t="n">
        <v>46321</v>
      </c>
      <c r="F114" t="inlineStr">
        <is>
          <t>SKÅNE LÄN</t>
        </is>
      </c>
      <c r="G114" t="inlineStr">
        <is>
          <t>OSBY</t>
        </is>
      </c>
      <c r="I114" t="n">
        <v>9.199999999999999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11555-2022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44631</v>
      </c>
      <c r="E115" s="1" t="n">
        <v>46321</v>
      </c>
      <c r="F115" t="inlineStr">
        <is>
          <t>SKÅNE LÄN</t>
        </is>
      </c>
      <c r="G115" t="inlineStr">
        <is>
          <t>OSBY</t>
        </is>
      </c>
      <c r="H115" t="inlineStr">
        <is>
          <t>Sveaskog</t>
        </is>
      </c>
      <c r="I115" t="n">
        <v>1.1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38682-2025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45884</v>
      </c>
      <c r="E116" s="1" t="n">
        <v>46321</v>
      </c>
      <c r="F116" t="inlineStr">
        <is>
          <t>SKÅNE LÄN</t>
        </is>
      </c>
      <c r="G116" t="inlineStr">
        <is>
          <t>OSBY</t>
        </is>
      </c>
      <c r="I116" t="n">
        <v>1.7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48582-2023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45208</v>
      </c>
      <c r="E117" s="1" t="n">
        <v>46321</v>
      </c>
      <c r="F117" t="inlineStr">
        <is>
          <t>SKÅNE LÄN</t>
        </is>
      </c>
      <c r="G117" t="inlineStr">
        <is>
          <t>OSBY</t>
        </is>
      </c>
      <c r="I117" t="n">
        <v>0.9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15525-2023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45016</v>
      </c>
      <c r="E118" s="1" t="n">
        <v>46321</v>
      </c>
      <c r="F118" t="inlineStr">
        <is>
          <t>SKÅNE LÄN</t>
        </is>
      </c>
      <c r="G118" t="inlineStr">
        <is>
          <t>OSBY</t>
        </is>
      </c>
      <c r="H118" t="inlineStr">
        <is>
          <t>Naturvårdsverket</t>
        </is>
      </c>
      <c r="I118" t="n">
        <v>4.4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41654-2025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45902</v>
      </c>
      <c r="E119" s="1" t="n">
        <v>46321</v>
      </c>
      <c r="F119" t="inlineStr">
        <is>
          <t>SKÅNE LÄN</t>
        </is>
      </c>
      <c r="G119" t="inlineStr">
        <is>
          <t>OSBY</t>
        </is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13594-2024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45390</v>
      </c>
      <c r="E120" s="1" t="n">
        <v>46321</v>
      </c>
      <c r="F120" t="inlineStr">
        <is>
          <t>SKÅNE LÄN</t>
        </is>
      </c>
      <c r="G120" t="inlineStr">
        <is>
          <t>OSBY</t>
        </is>
      </c>
      <c r="H120" t="inlineStr">
        <is>
          <t>Sveaskog</t>
        </is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55682-2023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45239</v>
      </c>
      <c r="E121" s="1" t="n">
        <v>46321</v>
      </c>
      <c r="F121" t="inlineStr">
        <is>
          <t>SKÅNE LÄN</t>
        </is>
      </c>
      <c r="G121" t="inlineStr">
        <is>
          <t>OSBY</t>
        </is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6605-2024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45341</v>
      </c>
      <c r="E122" s="1" t="n">
        <v>46321</v>
      </c>
      <c r="F122" t="inlineStr">
        <is>
          <t>SKÅNE LÄN</t>
        </is>
      </c>
      <c r="G122" t="inlineStr">
        <is>
          <t>OSBY</t>
        </is>
      </c>
      <c r="I122" t="n">
        <v>2.4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42565-2025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45905</v>
      </c>
      <c r="E123" s="1" t="n">
        <v>46321</v>
      </c>
      <c r="F123" t="inlineStr">
        <is>
          <t>SKÅNE LÄN</t>
        </is>
      </c>
      <c r="G123" t="inlineStr">
        <is>
          <t>OSBY</t>
        </is>
      </c>
      <c r="I123" t="n">
        <v>3.1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20643-2024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45436</v>
      </c>
      <c r="E124" s="1" t="n">
        <v>46321</v>
      </c>
      <c r="F124" t="inlineStr">
        <is>
          <t>SKÅNE LÄN</t>
        </is>
      </c>
      <c r="G124" t="inlineStr">
        <is>
          <t>OSBY</t>
        </is>
      </c>
      <c r="I124" t="n">
        <v>1.5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42798-2025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45908</v>
      </c>
      <c r="E125" s="1" t="n">
        <v>46321</v>
      </c>
      <c r="F125" t="inlineStr">
        <is>
          <t>SKÅNE LÄN</t>
        </is>
      </c>
      <c r="G125" t="inlineStr">
        <is>
          <t>OSBY</t>
        </is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22636-2023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45071</v>
      </c>
      <c r="E126" s="1" t="n">
        <v>46321</v>
      </c>
      <c r="F126" t="inlineStr">
        <is>
          <t>SKÅNE LÄN</t>
        </is>
      </c>
      <c r="G126" t="inlineStr">
        <is>
          <t>OSBY</t>
        </is>
      </c>
      <c r="I126" t="n">
        <v>5.5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6875-2024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45342</v>
      </c>
      <c r="E127" s="1" t="n">
        <v>46321</v>
      </c>
      <c r="F127" t="inlineStr">
        <is>
          <t>SKÅNE LÄN</t>
        </is>
      </c>
      <c r="G127" t="inlineStr">
        <is>
          <t>OSBY</t>
        </is>
      </c>
      <c r="I127" t="n">
        <v>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6876-2024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45342</v>
      </c>
      <c r="E128" s="1" t="n">
        <v>46321</v>
      </c>
      <c r="F128" t="inlineStr">
        <is>
          <t>SKÅNE LÄN</t>
        </is>
      </c>
      <c r="G128" t="inlineStr">
        <is>
          <t>OSBY</t>
        </is>
      </c>
      <c r="I128" t="n">
        <v>3.4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43072-2025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45909</v>
      </c>
      <c r="E129" s="1" t="n">
        <v>46321</v>
      </c>
      <c r="F129" t="inlineStr">
        <is>
          <t>SKÅNE LÄN</t>
        </is>
      </c>
      <c r="G129" t="inlineStr">
        <is>
          <t>OSBY</t>
        </is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11040-2026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46079</v>
      </c>
      <c r="E130" s="1" t="n">
        <v>46321</v>
      </c>
      <c r="F130" t="inlineStr">
        <is>
          <t>SKÅNE LÄN</t>
        </is>
      </c>
      <c r="G130" t="inlineStr">
        <is>
          <t>OSBY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43551-2025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45911</v>
      </c>
      <c r="E131" s="1" t="n">
        <v>46321</v>
      </c>
      <c r="F131" t="inlineStr">
        <is>
          <t>SKÅNE LÄN</t>
        </is>
      </c>
      <c r="G131" t="inlineStr">
        <is>
          <t>OSBY</t>
        </is>
      </c>
      <c r="I131" t="n">
        <v>5.1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43556-2025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45911</v>
      </c>
      <c r="E132" s="1" t="n">
        <v>46321</v>
      </c>
      <c r="F132" t="inlineStr">
        <is>
          <t>SKÅNE LÄN</t>
        </is>
      </c>
      <c r="G132" t="inlineStr">
        <is>
          <t>OSBY</t>
        </is>
      </c>
      <c r="I132" t="n">
        <v>2.8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43562-2025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45911</v>
      </c>
      <c r="E133" s="1" t="n">
        <v>46321</v>
      </c>
      <c r="F133" t="inlineStr">
        <is>
          <t>SKÅNE LÄN</t>
        </is>
      </c>
      <c r="G133" t="inlineStr">
        <is>
          <t>OSBY</t>
        </is>
      </c>
      <c r="I133" t="n">
        <v>2.5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43559-2025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45911</v>
      </c>
      <c r="E134" s="1" t="n">
        <v>46321</v>
      </c>
      <c r="F134" t="inlineStr">
        <is>
          <t>SKÅNE LÄN</t>
        </is>
      </c>
      <c r="G134" t="inlineStr">
        <is>
          <t>OSBY</t>
        </is>
      </c>
      <c r="I134" t="n">
        <v>7.1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27492-2023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45097</v>
      </c>
      <c r="E135" s="1" t="n">
        <v>46321</v>
      </c>
      <c r="F135" t="inlineStr">
        <is>
          <t>SKÅNE LÄN</t>
        </is>
      </c>
      <c r="G135" t="inlineStr">
        <is>
          <t>OSBY</t>
        </is>
      </c>
      <c r="I135" t="n">
        <v>1.4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22029-2022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44711</v>
      </c>
      <c r="E136" s="1" t="n">
        <v>46321</v>
      </c>
      <c r="F136" t="inlineStr">
        <is>
          <t>SKÅNE LÄN</t>
        </is>
      </c>
      <c r="G136" t="inlineStr">
        <is>
          <t>OSBY</t>
        </is>
      </c>
      <c r="I136" t="n">
        <v>6.3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43897-2025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45912</v>
      </c>
      <c r="E137" s="1" t="n">
        <v>46321</v>
      </c>
      <c r="F137" t="inlineStr">
        <is>
          <t>SKÅNE LÄN</t>
        </is>
      </c>
      <c r="G137" t="inlineStr">
        <is>
          <t>OSBY</t>
        </is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64897-2023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45282</v>
      </c>
      <c r="E138" s="1" t="n">
        <v>46321</v>
      </c>
      <c r="F138" t="inlineStr">
        <is>
          <t>SKÅNE LÄN</t>
        </is>
      </c>
      <c r="G138" t="inlineStr">
        <is>
          <t>OSBY</t>
        </is>
      </c>
      <c r="I138" t="n">
        <v>1.5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58154-2024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45632</v>
      </c>
      <c r="E139" s="1" t="n">
        <v>46321</v>
      </c>
      <c r="F139" t="inlineStr">
        <is>
          <t>SKÅNE LÄN</t>
        </is>
      </c>
      <c r="G139" t="inlineStr">
        <is>
          <t>OSBY</t>
        </is>
      </c>
      <c r="I139" t="n">
        <v>4.9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45729-2025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45923</v>
      </c>
      <c r="E140" s="1" t="n">
        <v>46321</v>
      </c>
      <c r="F140" t="inlineStr">
        <is>
          <t>SKÅNE LÄN</t>
        </is>
      </c>
      <c r="G140" t="inlineStr">
        <is>
          <t>OSBY</t>
        </is>
      </c>
      <c r="I140" t="n">
        <v>1.3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3831-2024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45321</v>
      </c>
      <c r="E141" s="1" t="n">
        <v>46321</v>
      </c>
      <c r="F141" t="inlineStr">
        <is>
          <t>SKÅNE LÄN</t>
        </is>
      </c>
      <c r="G141" t="inlineStr">
        <is>
          <t>OSBY</t>
        </is>
      </c>
      <c r="I141" t="n">
        <v>3.7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56443-2023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45243</v>
      </c>
      <c r="E142" s="1" t="n">
        <v>46321</v>
      </c>
      <c r="F142" t="inlineStr">
        <is>
          <t>SKÅNE LÄN</t>
        </is>
      </c>
      <c r="G142" t="inlineStr">
        <is>
          <t>OSBY</t>
        </is>
      </c>
      <c r="I142" t="n">
        <v>2.2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50738-2023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45217</v>
      </c>
      <c r="E143" s="1" t="n">
        <v>46321</v>
      </c>
      <c r="F143" t="inlineStr">
        <is>
          <t>SKÅNE LÄN</t>
        </is>
      </c>
      <c r="G143" t="inlineStr">
        <is>
          <t>OSBY</t>
        </is>
      </c>
      <c r="I143" t="n">
        <v>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24232-2023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45079</v>
      </c>
      <c r="E144" s="1" t="n">
        <v>46321</v>
      </c>
      <c r="F144" t="inlineStr">
        <is>
          <t>SKÅNE LÄN</t>
        </is>
      </c>
      <c r="G144" t="inlineStr">
        <is>
          <t>OSBY</t>
        </is>
      </c>
      <c r="H144" t="inlineStr">
        <is>
          <t>Kommuner</t>
        </is>
      </c>
      <c r="I144" t="n">
        <v>4.9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14308-2023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45011</v>
      </c>
      <c r="E145" s="1" t="n">
        <v>46321</v>
      </c>
      <c r="F145" t="inlineStr">
        <is>
          <t>SKÅNE LÄN</t>
        </is>
      </c>
      <c r="G145" t="inlineStr">
        <is>
          <t>OSBY</t>
        </is>
      </c>
      <c r="I145" t="n">
        <v>6.2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55292-2023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45237</v>
      </c>
      <c r="E146" s="1" t="n">
        <v>46321</v>
      </c>
      <c r="F146" t="inlineStr">
        <is>
          <t>SKÅNE LÄN</t>
        </is>
      </c>
      <c r="G146" t="inlineStr">
        <is>
          <t>OSBY</t>
        </is>
      </c>
      <c r="I146" t="n">
        <v>8.300000000000001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11146-2024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45371</v>
      </c>
      <c r="E147" s="1" t="n">
        <v>46321</v>
      </c>
      <c r="F147" t="inlineStr">
        <is>
          <t>SKÅNE LÄN</t>
        </is>
      </c>
      <c r="G147" t="inlineStr">
        <is>
          <t>OSBY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10714-2024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45369</v>
      </c>
      <c r="E148" s="1" t="n">
        <v>46321</v>
      </c>
      <c r="F148" t="inlineStr">
        <is>
          <t>SKÅNE LÄN</t>
        </is>
      </c>
      <c r="G148" t="inlineStr">
        <is>
          <t>OSBY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17649-2023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45035</v>
      </c>
      <c r="E149" s="1" t="n">
        <v>46321</v>
      </c>
      <c r="F149" t="inlineStr">
        <is>
          <t>SKÅNE LÄN</t>
        </is>
      </c>
      <c r="G149" t="inlineStr">
        <is>
          <t>OSBY</t>
        </is>
      </c>
      <c r="I149" t="n">
        <v>11.3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24538-2026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46170</v>
      </c>
      <c r="E150" s="1" t="n">
        <v>46321</v>
      </c>
      <c r="F150" t="inlineStr">
        <is>
          <t>SKÅNE LÄN</t>
        </is>
      </c>
      <c r="G150" t="inlineStr">
        <is>
          <t>OSBY</t>
        </is>
      </c>
      <c r="I150" t="n">
        <v>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47334-2025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45930</v>
      </c>
      <c r="E151" s="1" t="n">
        <v>46321</v>
      </c>
      <c r="F151" t="inlineStr">
        <is>
          <t>SKÅNE LÄN</t>
        </is>
      </c>
      <c r="G151" t="inlineStr">
        <is>
          <t>OSBY</t>
        </is>
      </c>
      <c r="I151" t="n">
        <v>2.4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17824-2023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45037</v>
      </c>
      <c r="E152" s="1" t="n">
        <v>46321</v>
      </c>
      <c r="F152" t="inlineStr">
        <is>
          <t>SKÅNE LÄN</t>
        </is>
      </c>
      <c r="G152" t="inlineStr">
        <is>
          <t>OSBY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24550-2026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46170</v>
      </c>
      <c r="E153" s="1" t="n">
        <v>46321</v>
      </c>
      <c r="F153" t="inlineStr">
        <is>
          <t>SKÅNE LÄN</t>
        </is>
      </c>
      <c r="G153" t="inlineStr">
        <is>
          <t>OSBY</t>
        </is>
      </c>
      <c r="I153" t="n">
        <v>4.4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38486-2024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45546</v>
      </c>
      <c r="E154" s="1" t="n">
        <v>46321</v>
      </c>
      <c r="F154" t="inlineStr">
        <is>
          <t>SKÅNE LÄN</t>
        </is>
      </c>
      <c r="G154" t="inlineStr">
        <is>
          <t>OSBY</t>
        </is>
      </c>
      <c r="I154" t="n">
        <v>4.5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27758-2022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44743</v>
      </c>
      <c r="E155" s="1" t="n">
        <v>46321</v>
      </c>
      <c r="F155" t="inlineStr">
        <is>
          <t>SKÅNE LÄN</t>
        </is>
      </c>
      <c r="G155" t="inlineStr">
        <is>
          <t>OSBY</t>
        </is>
      </c>
      <c r="I155" t="n">
        <v>0.8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25149-2026</t>
        </is>
      </c>
      <c r="B156" t="inlineStr">
        <is>
          <t>avverkningsanmälan</t>
        </is>
      </c>
      <c r="C156" t="inlineStr">
        <is>
          <t>Avverkning för annat ändamål</t>
        </is>
      </c>
      <c r="D156" s="1" t="n">
        <v>46175</v>
      </c>
      <c r="E156" s="1" t="n">
        <v>46321</v>
      </c>
      <c r="F156" t="inlineStr">
        <is>
          <t>SKÅNE LÄN</t>
        </is>
      </c>
      <c r="G156" t="inlineStr">
        <is>
          <t>OSBY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11808-2024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45375</v>
      </c>
      <c r="E157" s="1" t="n">
        <v>46321</v>
      </c>
      <c r="F157" t="inlineStr">
        <is>
          <t>SKÅNE LÄN</t>
        </is>
      </c>
      <c r="G157" t="inlineStr">
        <is>
          <t>OSBY</t>
        </is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48785-2025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45937</v>
      </c>
      <c r="E158" s="1" t="n">
        <v>46321</v>
      </c>
      <c r="F158" t="inlineStr">
        <is>
          <t>SKÅNE LÄN</t>
        </is>
      </c>
      <c r="G158" t="inlineStr">
        <is>
          <t>OSBY</t>
        </is>
      </c>
      <c r="H158" t="inlineStr">
        <is>
          <t>Sveaskog</t>
        </is>
      </c>
      <c r="I158" t="n">
        <v>1.3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48796-2025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45937</v>
      </c>
      <c r="E159" s="1" t="n">
        <v>46321</v>
      </c>
      <c r="F159" t="inlineStr">
        <is>
          <t>SKÅNE LÄN</t>
        </is>
      </c>
      <c r="G159" t="inlineStr">
        <is>
          <t>OSBY</t>
        </is>
      </c>
      <c r="H159" t="inlineStr">
        <is>
          <t>Sveaskog</t>
        </is>
      </c>
      <c r="I159" t="n">
        <v>1.7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59253-2022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44904</v>
      </c>
      <c r="E160" s="1" t="n">
        <v>46321</v>
      </c>
      <c r="F160" t="inlineStr">
        <is>
          <t>SKÅNE LÄN</t>
        </is>
      </c>
      <c r="G160" t="inlineStr">
        <is>
          <t>OSBY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48789-2025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45937</v>
      </c>
      <c r="E161" s="1" t="n">
        <v>46321</v>
      </c>
      <c r="F161" t="inlineStr">
        <is>
          <t>SKÅNE LÄN</t>
        </is>
      </c>
      <c r="G161" t="inlineStr">
        <is>
          <t>OSBY</t>
        </is>
      </c>
      <c r="H161" t="inlineStr">
        <is>
          <t>Sveaskog</t>
        </is>
      </c>
      <c r="I161" t="n">
        <v>3.5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17616-2023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45036</v>
      </c>
      <c r="E162" s="1" t="n">
        <v>46321</v>
      </c>
      <c r="F162" t="inlineStr">
        <is>
          <t>SKÅNE LÄN</t>
        </is>
      </c>
      <c r="G162" t="inlineStr">
        <is>
          <t>OSBY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48797-2025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45937</v>
      </c>
      <c r="E163" s="1" t="n">
        <v>46321</v>
      </c>
      <c r="F163" t="inlineStr">
        <is>
          <t>SKÅNE LÄN</t>
        </is>
      </c>
      <c r="G163" t="inlineStr">
        <is>
          <t>OSBY</t>
        </is>
      </c>
      <c r="H163" t="inlineStr">
        <is>
          <t>Sveaskog</t>
        </is>
      </c>
      <c r="I163" t="n">
        <v>2.2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23234-2024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45453</v>
      </c>
      <c r="E164" s="1" t="n">
        <v>46321</v>
      </c>
      <c r="F164" t="inlineStr">
        <is>
          <t>SKÅNE LÄN</t>
        </is>
      </c>
      <c r="G164" t="inlineStr">
        <is>
          <t>OSBY</t>
        </is>
      </c>
      <c r="I164" t="n">
        <v>0.8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5262-2022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44594</v>
      </c>
      <c r="E165" s="1" t="n">
        <v>46321</v>
      </c>
      <c r="F165" t="inlineStr">
        <is>
          <t>SKÅNE LÄN</t>
        </is>
      </c>
      <c r="G165" t="inlineStr">
        <is>
          <t>OSBY</t>
        </is>
      </c>
      <c r="I165" t="n">
        <v>2.9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32584-2022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44783</v>
      </c>
      <c r="E166" s="1" t="n">
        <v>46321</v>
      </c>
      <c r="F166" t="inlineStr">
        <is>
          <t>SKÅNE LÄN</t>
        </is>
      </c>
      <c r="G166" t="inlineStr">
        <is>
          <t>OSBY</t>
        </is>
      </c>
      <c r="I166" t="n">
        <v>2.5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44429-2024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45573</v>
      </c>
      <c r="E167" s="1" t="n">
        <v>46321</v>
      </c>
      <c r="F167" t="inlineStr">
        <is>
          <t>SKÅNE LÄN</t>
        </is>
      </c>
      <c r="G167" t="inlineStr">
        <is>
          <t>OSBY</t>
        </is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50611-2023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45217</v>
      </c>
      <c r="E168" s="1" t="n">
        <v>46321</v>
      </c>
      <c r="F168" t="inlineStr">
        <is>
          <t>SKÅNE LÄN</t>
        </is>
      </c>
      <c r="G168" t="inlineStr">
        <is>
          <t>OSBY</t>
        </is>
      </c>
      <c r="I168" t="n">
        <v>4.3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12978-2024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45385</v>
      </c>
      <c r="E169" s="1" t="n">
        <v>46321</v>
      </c>
      <c r="F169" t="inlineStr">
        <is>
          <t>SKÅNE LÄN</t>
        </is>
      </c>
      <c r="G169" t="inlineStr">
        <is>
          <t>OSBY</t>
        </is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48132-2024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45589</v>
      </c>
      <c r="E170" s="1" t="n">
        <v>46321</v>
      </c>
      <c r="F170" t="inlineStr">
        <is>
          <t>SKÅNE LÄN</t>
        </is>
      </c>
      <c r="G170" t="inlineStr">
        <is>
          <t>OSBY</t>
        </is>
      </c>
      <c r="I170" t="n">
        <v>1.8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48137-2024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45589</v>
      </c>
      <c r="E171" s="1" t="n">
        <v>46321</v>
      </c>
      <c r="F171" t="inlineStr">
        <is>
          <t>SKÅNE LÄN</t>
        </is>
      </c>
      <c r="G171" t="inlineStr">
        <is>
          <t>OSBY</t>
        </is>
      </c>
      <c r="I171" t="n">
        <v>3.8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40584-2022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44823</v>
      </c>
      <c r="E172" s="1" t="n">
        <v>46321</v>
      </c>
      <c r="F172" t="inlineStr">
        <is>
          <t>SKÅNE LÄN</t>
        </is>
      </c>
      <c r="G172" t="inlineStr">
        <is>
          <t>OSBY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25397-2026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46176</v>
      </c>
      <c r="E173" s="1" t="n">
        <v>46321</v>
      </c>
      <c r="F173" t="inlineStr">
        <is>
          <t>SKÅNE LÄN</t>
        </is>
      </c>
      <c r="G173" t="inlineStr">
        <is>
          <t>OSBY</t>
        </is>
      </c>
      <c r="I173" t="n">
        <v>4.5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10967-2024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45370</v>
      </c>
      <c r="E174" s="1" t="n">
        <v>46321</v>
      </c>
      <c r="F174" t="inlineStr">
        <is>
          <t>SKÅNE LÄN</t>
        </is>
      </c>
      <c r="G174" t="inlineStr">
        <is>
          <t>OSBY</t>
        </is>
      </c>
      <c r="I174" t="n">
        <v>0.6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32001-2023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45119</v>
      </c>
      <c r="E175" s="1" t="n">
        <v>46321</v>
      </c>
      <c r="F175" t="inlineStr">
        <is>
          <t>SKÅNE LÄN</t>
        </is>
      </c>
      <c r="G175" t="inlineStr">
        <is>
          <t>OSBY</t>
        </is>
      </c>
      <c r="I175" t="n">
        <v>0.8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22653-2024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45447</v>
      </c>
      <c r="E176" s="1" t="n">
        <v>46321</v>
      </c>
      <c r="F176" t="inlineStr">
        <is>
          <t>SKÅNE LÄN</t>
        </is>
      </c>
      <c r="G176" t="inlineStr">
        <is>
          <t>OSBY</t>
        </is>
      </c>
      <c r="I176" t="n">
        <v>1.6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10191-2026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46076</v>
      </c>
      <c r="E177" s="1" t="n">
        <v>46321</v>
      </c>
      <c r="F177" t="inlineStr">
        <is>
          <t>SKÅNE LÄN</t>
        </is>
      </c>
      <c r="G177" t="inlineStr">
        <is>
          <t>OSBY</t>
        </is>
      </c>
      <c r="I177" t="n">
        <v>3.2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26989-2023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45093</v>
      </c>
      <c r="E178" s="1" t="n">
        <v>46321</v>
      </c>
      <c r="F178" t="inlineStr">
        <is>
          <t>SKÅNE LÄN</t>
        </is>
      </c>
      <c r="G178" t="inlineStr">
        <is>
          <t>OSBY</t>
        </is>
      </c>
      <c r="I178" t="n">
        <v>1.5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25392-2026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46176</v>
      </c>
      <c r="E179" s="1" t="n">
        <v>46321</v>
      </c>
      <c r="F179" t="inlineStr">
        <is>
          <t>SKÅNE LÄN</t>
        </is>
      </c>
      <c r="G179" t="inlineStr">
        <is>
          <t>OSBY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36645-2022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44804</v>
      </c>
      <c r="E180" s="1" t="n">
        <v>46321</v>
      </c>
      <c r="F180" t="inlineStr">
        <is>
          <t>SKÅNE LÄN</t>
        </is>
      </c>
      <c r="G180" t="inlineStr">
        <is>
          <t>OSBY</t>
        </is>
      </c>
      <c r="I180" t="n">
        <v>1.2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25935-2026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46180</v>
      </c>
      <c r="E181" s="1" t="n">
        <v>46321</v>
      </c>
      <c r="F181" t="inlineStr">
        <is>
          <t>SKÅNE LÄN</t>
        </is>
      </c>
      <c r="G181" t="inlineStr">
        <is>
          <t>OSBY</t>
        </is>
      </c>
      <c r="H181" t="inlineStr">
        <is>
          <t>Sveaskog</t>
        </is>
      </c>
      <c r="I181" t="n">
        <v>2.6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25936-2026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46180</v>
      </c>
      <c r="E182" s="1" t="n">
        <v>46321</v>
      </c>
      <c r="F182" t="inlineStr">
        <is>
          <t>SKÅNE LÄN</t>
        </is>
      </c>
      <c r="G182" t="inlineStr">
        <is>
          <t>OSBY</t>
        </is>
      </c>
      <c r="H182" t="inlineStr">
        <is>
          <t>Sveaskog</t>
        </is>
      </c>
      <c r="I182" t="n">
        <v>2.3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74033-2021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44557</v>
      </c>
      <c r="E183" s="1" t="n">
        <v>46321</v>
      </c>
      <c r="F183" t="inlineStr">
        <is>
          <t>SKÅNE LÄN</t>
        </is>
      </c>
      <c r="G183" t="inlineStr">
        <is>
          <t>OSBY</t>
        </is>
      </c>
      <c r="I183" t="n">
        <v>1.8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74050-2021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44557</v>
      </c>
      <c r="E184" s="1" t="n">
        <v>46321</v>
      </c>
      <c r="F184" t="inlineStr">
        <is>
          <t>SKÅNE LÄN</t>
        </is>
      </c>
      <c r="G184" t="inlineStr">
        <is>
          <t>OSBY</t>
        </is>
      </c>
      <c r="I184" t="n">
        <v>2.2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25677-2026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46178</v>
      </c>
      <c r="E185" s="1" t="n">
        <v>46321</v>
      </c>
      <c r="F185" t="inlineStr">
        <is>
          <t>SKÅNE LÄN</t>
        </is>
      </c>
      <c r="G185" t="inlineStr">
        <is>
          <t>OSBY</t>
        </is>
      </c>
      <c r="I185" t="n">
        <v>3.1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25934-2026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46180</v>
      </c>
      <c r="E186" s="1" t="n">
        <v>46321</v>
      </c>
      <c r="F186" t="inlineStr">
        <is>
          <t>SKÅNE LÄN</t>
        </is>
      </c>
      <c r="G186" t="inlineStr">
        <is>
          <t>OSBY</t>
        </is>
      </c>
      <c r="H186" t="inlineStr">
        <is>
          <t>Sveaskog</t>
        </is>
      </c>
      <c r="I186" t="n">
        <v>1.6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26470-2026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46183</v>
      </c>
      <c r="E187" s="1" t="n">
        <v>46321</v>
      </c>
      <c r="F187" t="inlineStr">
        <is>
          <t>SKÅNE LÄN</t>
        </is>
      </c>
      <c r="G187" t="inlineStr">
        <is>
          <t>OSBY</t>
        </is>
      </c>
      <c r="I187" t="n">
        <v>4.4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59257-2022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44904</v>
      </c>
      <c r="E188" s="1" t="n">
        <v>46321</v>
      </c>
      <c r="F188" t="inlineStr">
        <is>
          <t>SKÅNE LÄN</t>
        </is>
      </c>
      <c r="G188" t="inlineStr">
        <is>
          <t>OSBY</t>
        </is>
      </c>
      <c r="I188" t="n">
        <v>0.4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3846-2025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45683</v>
      </c>
      <c r="E189" s="1" t="n">
        <v>46321</v>
      </c>
      <c r="F189" t="inlineStr">
        <is>
          <t>SKÅNE LÄN</t>
        </is>
      </c>
      <c r="G189" t="inlineStr">
        <is>
          <t>OSBY</t>
        </is>
      </c>
      <c r="I189" t="n">
        <v>1.6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26591-2026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46183</v>
      </c>
      <c r="E190" s="1" t="n">
        <v>46321</v>
      </c>
      <c r="F190" t="inlineStr">
        <is>
          <t>SKÅNE LÄN</t>
        </is>
      </c>
      <c r="G190" t="inlineStr">
        <is>
          <t>OSBY</t>
        </is>
      </c>
      <c r="I190" t="n">
        <v>2.1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34934-2023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45141</v>
      </c>
      <c r="E191" s="1" t="n">
        <v>46321</v>
      </c>
      <c r="F191" t="inlineStr">
        <is>
          <t>SKÅNE LÄN</t>
        </is>
      </c>
      <c r="G191" t="inlineStr">
        <is>
          <t>OSBY</t>
        </is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29291-2023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45105</v>
      </c>
      <c r="E192" s="1" t="n">
        <v>46321</v>
      </c>
      <c r="F192" t="inlineStr">
        <is>
          <t>SKÅNE LÄN</t>
        </is>
      </c>
      <c r="G192" t="inlineStr">
        <is>
          <t>OSBY</t>
        </is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26452-2026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46183</v>
      </c>
      <c r="E193" s="1" t="n">
        <v>46321</v>
      </c>
      <c r="F193" t="inlineStr">
        <is>
          <t>SKÅNE LÄN</t>
        </is>
      </c>
      <c r="G193" t="inlineStr">
        <is>
          <t>OSBY</t>
        </is>
      </c>
      <c r="I193" t="n">
        <v>3.9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8438-2024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45353</v>
      </c>
      <c r="E194" s="1" t="n">
        <v>46321</v>
      </c>
      <c r="F194" t="inlineStr">
        <is>
          <t>SKÅNE LÄN</t>
        </is>
      </c>
      <c r="G194" t="inlineStr">
        <is>
          <t>OSBY</t>
        </is>
      </c>
      <c r="I194" t="n">
        <v>4.1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21881-2024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45443</v>
      </c>
      <c r="E195" s="1" t="n">
        <v>46321</v>
      </c>
      <c r="F195" t="inlineStr">
        <is>
          <t>SKÅNE LÄN</t>
        </is>
      </c>
      <c r="G195" t="inlineStr">
        <is>
          <t>OSBY</t>
        </is>
      </c>
      <c r="I195" t="n">
        <v>1.9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54218-2025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45964</v>
      </c>
      <c r="E196" s="1" t="n">
        <v>46321</v>
      </c>
      <c r="F196" t="inlineStr">
        <is>
          <t>SKÅNE LÄN</t>
        </is>
      </c>
      <c r="G196" t="inlineStr">
        <is>
          <t>OSBY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62425-2023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45268</v>
      </c>
      <c r="E197" s="1" t="n">
        <v>46321</v>
      </c>
      <c r="F197" t="inlineStr">
        <is>
          <t>SKÅNE LÄN</t>
        </is>
      </c>
      <c r="G197" t="inlineStr">
        <is>
          <t>OSBY</t>
        </is>
      </c>
      <c r="I197" t="n">
        <v>0.9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27479-2026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46189</v>
      </c>
      <c r="E198" s="1" t="n">
        <v>46321</v>
      </c>
      <c r="F198" t="inlineStr">
        <is>
          <t>SKÅNE LÄN</t>
        </is>
      </c>
      <c r="G198" t="inlineStr">
        <is>
          <t>OSBY</t>
        </is>
      </c>
      <c r="H198" t="inlineStr">
        <is>
          <t>Sveaskog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27483-2026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46189</v>
      </c>
      <c r="E199" s="1" t="n">
        <v>46321</v>
      </c>
      <c r="F199" t="inlineStr">
        <is>
          <t>SKÅNE LÄN</t>
        </is>
      </c>
      <c r="G199" t="inlineStr">
        <is>
          <t>OSBY</t>
        </is>
      </c>
      <c r="H199" t="inlineStr">
        <is>
          <t>Sveaskog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27481-2026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46189</v>
      </c>
      <c r="E200" s="1" t="n">
        <v>46321</v>
      </c>
      <c r="F200" t="inlineStr">
        <is>
          <t>SKÅNE LÄN</t>
        </is>
      </c>
      <c r="G200" t="inlineStr">
        <is>
          <t>OSBY</t>
        </is>
      </c>
      <c r="H200" t="inlineStr">
        <is>
          <t>Sveaskog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27491-2026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46189</v>
      </c>
      <c r="E201" s="1" t="n">
        <v>46321</v>
      </c>
      <c r="F201" t="inlineStr">
        <is>
          <t>SKÅNE LÄN</t>
        </is>
      </c>
      <c r="G201" t="inlineStr">
        <is>
          <t>OSBY</t>
        </is>
      </c>
      <c r="H201" t="inlineStr">
        <is>
          <t>Sveaskog</t>
        </is>
      </c>
      <c r="I201" t="n">
        <v>2.9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27488-2026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46189</v>
      </c>
      <c r="E202" s="1" t="n">
        <v>46321</v>
      </c>
      <c r="F202" t="inlineStr">
        <is>
          <t>SKÅNE LÄN</t>
        </is>
      </c>
      <c r="G202" t="inlineStr">
        <is>
          <t>OSBY</t>
        </is>
      </c>
      <c r="H202" t="inlineStr">
        <is>
          <t>Sveaskog</t>
        </is>
      </c>
      <c r="I202" t="n">
        <v>6.7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27489-2026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46189</v>
      </c>
      <c r="E203" s="1" t="n">
        <v>46321</v>
      </c>
      <c r="F203" t="inlineStr">
        <is>
          <t>SKÅNE LÄN</t>
        </is>
      </c>
      <c r="G203" t="inlineStr">
        <is>
          <t>OSBY</t>
        </is>
      </c>
      <c r="H203" t="inlineStr">
        <is>
          <t>Sveaskog</t>
        </is>
      </c>
      <c r="I203" t="n">
        <v>2.6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27493-2026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46189</v>
      </c>
      <c r="E204" s="1" t="n">
        <v>46321</v>
      </c>
      <c r="F204" t="inlineStr">
        <is>
          <t>SKÅNE LÄN</t>
        </is>
      </c>
      <c r="G204" t="inlineStr">
        <is>
          <t>OSBY</t>
        </is>
      </c>
      <c r="H204" t="inlineStr">
        <is>
          <t>Sveaskog</t>
        </is>
      </c>
      <c r="I204" t="n">
        <v>0.6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27503-2026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46189</v>
      </c>
      <c r="E205" s="1" t="n">
        <v>46321</v>
      </c>
      <c r="F205" t="inlineStr">
        <is>
          <t>SKÅNE LÄN</t>
        </is>
      </c>
      <c r="G205" t="inlineStr">
        <is>
          <t>OSBY</t>
        </is>
      </c>
      <c r="H205" t="inlineStr">
        <is>
          <t>Sveaskog</t>
        </is>
      </c>
      <c r="I205" t="n">
        <v>3.8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27476-2026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46189</v>
      </c>
      <c r="E206" s="1" t="n">
        <v>46321</v>
      </c>
      <c r="F206" t="inlineStr">
        <is>
          <t>SKÅNE LÄN</t>
        </is>
      </c>
      <c r="G206" t="inlineStr">
        <is>
          <t>OSBY</t>
        </is>
      </c>
      <c r="H206" t="inlineStr">
        <is>
          <t>Sveaskog</t>
        </is>
      </c>
      <c r="I206" t="n">
        <v>1.6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27480-2026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46189</v>
      </c>
      <c r="E207" s="1" t="n">
        <v>46321</v>
      </c>
      <c r="F207" t="inlineStr">
        <is>
          <t>SKÅNE LÄN</t>
        </is>
      </c>
      <c r="G207" t="inlineStr">
        <is>
          <t>OSBY</t>
        </is>
      </c>
      <c r="H207" t="inlineStr">
        <is>
          <t>Sveaskog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27375-2026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46189</v>
      </c>
      <c r="E208" s="1" t="n">
        <v>46321</v>
      </c>
      <c r="F208" t="inlineStr">
        <is>
          <t>SKÅNE LÄN</t>
        </is>
      </c>
      <c r="G208" t="inlineStr">
        <is>
          <t>OSBY</t>
        </is>
      </c>
      <c r="H208" t="inlineStr">
        <is>
          <t>Sveaskog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27374-2026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46189</v>
      </c>
      <c r="E209" s="1" t="n">
        <v>46321</v>
      </c>
      <c r="F209" t="inlineStr">
        <is>
          <t>SKÅNE LÄN</t>
        </is>
      </c>
      <c r="G209" t="inlineStr">
        <is>
          <t>OSBY</t>
        </is>
      </c>
      <c r="H209" t="inlineStr">
        <is>
          <t>Sveaskog</t>
        </is>
      </c>
      <c r="I209" t="n">
        <v>1.1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54297-2025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45964</v>
      </c>
      <c r="E210" s="1" t="n">
        <v>46321</v>
      </c>
      <c r="F210" t="inlineStr">
        <is>
          <t>SKÅNE LÄN</t>
        </is>
      </c>
      <c r="G210" t="inlineStr">
        <is>
          <t>OSBY</t>
        </is>
      </c>
      <c r="I210" t="n">
        <v>1.1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36571-2024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45537</v>
      </c>
      <c r="E211" s="1" t="n">
        <v>46321</v>
      </c>
      <c r="F211" t="inlineStr">
        <is>
          <t>SKÅNE LÄN</t>
        </is>
      </c>
      <c r="G211" t="inlineStr">
        <is>
          <t>OSBY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55612-2025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45971</v>
      </c>
      <c r="E212" s="1" t="n">
        <v>46321</v>
      </c>
      <c r="F212" t="inlineStr">
        <is>
          <t>SKÅNE LÄN</t>
        </is>
      </c>
      <c r="G212" t="inlineStr">
        <is>
          <t>OSBY</t>
        </is>
      </c>
      <c r="I212" t="n">
        <v>6.2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21524-2023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45063</v>
      </c>
      <c r="E213" s="1" t="n">
        <v>46321</v>
      </c>
      <c r="F213" t="inlineStr">
        <is>
          <t>SKÅNE LÄN</t>
        </is>
      </c>
      <c r="G213" t="inlineStr">
        <is>
          <t>OSBY</t>
        </is>
      </c>
      <c r="I213" t="n">
        <v>1.7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63297-2023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45273</v>
      </c>
      <c r="E214" s="1" t="n">
        <v>46321</v>
      </c>
      <c r="F214" t="inlineStr">
        <is>
          <t>SKÅNE LÄN</t>
        </is>
      </c>
      <c r="G214" t="inlineStr">
        <is>
          <t>OSBY</t>
        </is>
      </c>
      <c r="I214" t="n">
        <v>1.9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55849-2025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45973</v>
      </c>
      <c r="E215" s="1" t="n">
        <v>46321</v>
      </c>
      <c r="F215" t="inlineStr">
        <is>
          <t>SKÅNE LÄN</t>
        </is>
      </c>
      <c r="G215" t="inlineStr">
        <is>
          <t>OSBY</t>
        </is>
      </c>
      <c r="H215" t="inlineStr">
        <is>
          <t>Sveaskog</t>
        </is>
      </c>
      <c r="I215" t="n">
        <v>1.4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28623-2026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46198</v>
      </c>
      <c r="E216" s="1" t="n">
        <v>46321</v>
      </c>
      <c r="F216" t="inlineStr">
        <is>
          <t>SKÅNE LÄN</t>
        </is>
      </c>
      <c r="G216" t="inlineStr">
        <is>
          <t>OSBY</t>
        </is>
      </c>
      <c r="H216" t="inlineStr">
        <is>
          <t>Sveaskog</t>
        </is>
      </c>
      <c r="I216" t="n">
        <v>0.6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56998-2024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45628</v>
      </c>
      <c r="E217" s="1" t="n">
        <v>46321</v>
      </c>
      <c r="F217" t="inlineStr">
        <is>
          <t>SKÅNE LÄN</t>
        </is>
      </c>
      <c r="G217" t="inlineStr">
        <is>
          <t>OSBY</t>
        </is>
      </c>
      <c r="I217" t="n">
        <v>0.7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29083-2026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46199</v>
      </c>
      <c r="E218" s="1" t="n">
        <v>46321</v>
      </c>
      <c r="F218" t="inlineStr">
        <is>
          <t>SKÅNE LÄN</t>
        </is>
      </c>
      <c r="G218" t="inlineStr">
        <is>
          <t>OSBY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56665-2025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45975</v>
      </c>
      <c r="E219" s="1" t="n">
        <v>46321</v>
      </c>
      <c r="F219" t="inlineStr">
        <is>
          <t>SKÅNE LÄN</t>
        </is>
      </c>
      <c r="G219" t="inlineStr">
        <is>
          <t>OSBY</t>
        </is>
      </c>
      <c r="I219" t="n">
        <v>3.9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61711-2024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45648</v>
      </c>
      <c r="E220" s="1" t="n">
        <v>46321</v>
      </c>
      <c r="F220" t="inlineStr">
        <is>
          <t>SKÅNE LÄN</t>
        </is>
      </c>
      <c r="G220" t="inlineStr">
        <is>
          <t>OSBY</t>
        </is>
      </c>
      <c r="I220" t="n">
        <v>3.2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29105-2026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46200</v>
      </c>
      <c r="E221" s="1" t="n">
        <v>46321</v>
      </c>
      <c r="F221" t="inlineStr">
        <is>
          <t>SKÅNE LÄN</t>
        </is>
      </c>
      <c r="G221" t="inlineStr">
        <is>
          <t>OSBY</t>
        </is>
      </c>
      <c r="I221" t="n">
        <v>1.2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28926-2026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46199</v>
      </c>
      <c r="E222" s="1" t="n">
        <v>46321</v>
      </c>
      <c r="F222" t="inlineStr">
        <is>
          <t>SKÅNE LÄN</t>
        </is>
      </c>
      <c r="G222" t="inlineStr">
        <is>
          <t>OSBY</t>
        </is>
      </c>
      <c r="I222" t="n">
        <v>0.6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16838-2023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45033</v>
      </c>
      <c r="E223" s="1" t="n">
        <v>46321</v>
      </c>
      <c r="F223" t="inlineStr">
        <is>
          <t>SKÅNE LÄN</t>
        </is>
      </c>
      <c r="G223" t="inlineStr">
        <is>
          <t>OSBY</t>
        </is>
      </c>
      <c r="I223" t="n">
        <v>0.7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54009-2023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45231</v>
      </c>
      <c r="E224" s="1" t="n">
        <v>46321</v>
      </c>
      <c r="F224" t="inlineStr">
        <is>
          <t>SKÅNE LÄN</t>
        </is>
      </c>
      <c r="G224" t="inlineStr">
        <is>
          <t>OSBY</t>
        </is>
      </c>
      <c r="I224" t="n">
        <v>1.5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36951-2023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45154</v>
      </c>
      <c r="E225" s="1" t="n">
        <v>46321</v>
      </c>
      <c r="F225" t="inlineStr">
        <is>
          <t>SKÅNE LÄN</t>
        </is>
      </c>
      <c r="G225" t="inlineStr">
        <is>
          <t>OSBY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23476-2024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45453</v>
      </c>
      <c r="E226" s="1" t="n">
        <v>46321</v>
      </c>
      <c r="F226" t="inlineStr">
        <is>
          <t>SKÅNE LÄN</t>
        </is>
      </c>
      <c r="G226" t="inlineStr">
        <is>
          <t>OSBY</t>
        </is>
      </c>
      <c r="H226" t="inlineStr">
        <is>
          <t>Sveaskog</t>
        </is>
      </c>
      <c r="I226" t="n">
        <v>1.1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58101-2025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45982</v>
      </c>
      <c r="E227" s="1" t="n">
        <v>46321</v>
      </c>
      <c r="F227" t="inlineStr">
        <is>
          <t>SKÅNE LÄN</t>
        </is>
      </c>
      <c r="G227" t="inlineStr">
        <is>
          <t>OSBY</t>
        </is>
      </c>
      <c r="I227" t="n">
        <v>10.2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58761-2022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44903</v>
      </c>
      <c r="E228" s="1" t="n">
        <v>46321</v>
      </c>
      <c r="F228" t="inlineStr">
        <is>
          <t>SKÅNE LÄN</t>
        </is>
      </c>
      <c r="G228" t="inlineStr">
        <is>
          <t>OSBY</t>
        </is>
      </c>
      <c r="H228" t="inlineStr">
        <is>
          <t>Kommuner</t>
        </is>
      </c>
      <c r="I228" t="n">
        <v>0.7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29999-2026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46205</v>
      </c>
      <c r="E229" s="1" t="n">
        <v>46321</v>
      </c>
      <c r="F229" t="inlineStr">
        <is>
          <t>SKÅNE LÄN</t>
        </is>
      </c>
      <c r="G229" t="inlineStr">
        <is>
          <t>OSBY</t>
        </is>
      </c>
      <c r="I229" t="n">
        <v>5.3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4767-2023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44957</v>
      </c>
      <c r="E230" s="1" t="n">
        <v>46321</v>
      </c>
      <c r="F230" t="inlineStr">
        <is>
          <t>SKÅNE LÄN</t>
        </is>
      </c>
      <c r="G230" t="inlineStr">
        <is>
          <t>OSBY</t>
        </is>
      </c>
      <c r="I230" t="n">
        <v>3.4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21222-2023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45062</v>
      </c>
      <c r="E231" s="1" t="n">
        <v>46321</v>
      </c>
      <c r="F231" t="inlineStr">
        <is>
          <t>SKÅNE LÄN</t>
        </is>
      </c>
      <c r="G231" t="inlineStr">
        <is>
          <t>OSBY</t>
        </is>
      </c>
      <c r="I231" t="n">
        <v>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58603-2025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45986</v>
      </c>
      <c r="E232" s="1" t="n">
        <v>46321</v>
      </c>
      <c r="F232" t="inlineStr">
        <is>
          <t>SKÅNE LÄN</t>
        </is>
      </c>
      <c r="G232" t="inlineStr">
        <is>
          <t>OSBY</t>
        </is>
      </c>
      <c r="I232" t="n">
        <v>0.7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48513-2023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45208</v>
      </c>
      <c r="E233" s="1" t="n">
        <v>46321</v>
      </c>
      <c r="F233" t="inlineStr">
        <is>
          <t>SKÅNE LÄN</t>
        </is>
      </c>
      <c r="G233" t="inlineStr">
        <is>
          <t>OSBY</t>
        </is>
      </c>
      <c r="I233" t="n">
        <v>4.7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4011-2024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45323</v>
      </c>
      <c r="E234" s="1" t="n">
        <v>46321</v>
      </c>
      <c r="F234" t="inlineStr">
        <is>
          <t>SKÅNE LÄN</t>
        </is>
      </c>
      <c r="G234" t="inlineStr">
        <is>
          <t>OSBY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9801-2024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45362</v>
      </c>
      <c r="E235" s="1" t="n">
        <v>46321</v>
      </c>
      <c r="F235" t="inlineStr">
        <is>
          <t>SKÅNE LÄN</t>
        </is>
      </c>
      <c r="G235" t="inlineStr">
        <is>
          <t>OSBY</t>
        </is>
      </c>
      <c r="H235" t="inlineStr">
        <is>
          <t>Sveaskog</t>
        </is>
      </c>
      <c r="I235" t="n">
        <v>0.8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37358-2024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45540</v>
      </c>
      <c r="E236" s="1" t="n">
        <v>46321</v>
      </c>
      <c r="F236" t="inlineStr">
        <is>
          <t>SKÅNE LÄN</t>
        </is>
      </c>
      <c r="G236" t="inlineStr">
        <is>
          <t>OSBY</t>
        </is>
      </c>
      <c r="I236" t="n">
        <v>4.8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4363-2025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45686</v>
      </c>
      <c r="E237" s="1" t="n">
        <v>46321</v>
      </c>
      <c r="F237" t="inlineStr">
        <is>
          <t>SKÅNE LÄN</t>
        </is>
      </c>
      <c r="G237" t="inlineStr">
        <is>
          <t>OSBY</t>
        </is>
      </c>
      <c r="I237" t="n">
        <v>0.8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33741-2024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45520</v>
      </c>
      <c r="E238" s="1" t="n">
        <v>46321</v>
      </c>
      <c r="F238" t="inlineStr">
        <is>
          <t>SKÅNE LÄN</t>
        </is>
      </c>
      <c r="G238" t="inlineStr">
        <is>
          <t>OSBY</t>
        </is>
      </c>
      <c r="I238" t="n">
        <v>8.800000000000001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30550-2026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46210</v>
      </c>
      <c r="E239" s="1" t="n">
        <v>46321</v>
      </c>
      <c r="F239" t="inlineStr">
        <is>
          <t>SKÅNE LÄN</t>
        </is>
      </c>
      <c r="G239" t="inlineStr">
        <is>
          <t>OSBY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26780-2023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45093</v>
      </c>
      <c r="E240" s="1" t="n">
        <v>46321</v>
      </c>
      <c r="F240" t="inlineStr">
        <is>
          <t>SKÅNE LÄN</t>
        </is>
      </c>
      <c r="G240" t="inlineStr">
        <is>
          <t>OSBY</t>
        </is>
      </c>
      <c r="I240" t="n">
        <v>2.9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30972-2026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46213</v>
      </c>
      <c r="E241" s="1" t="n">
        <v>46321</v>
      </c>
      <c r="F241" t="inlineStr">
        <is>
          <t>SKÅNE LÄN</t>
        </is>
      </c>
      <c r="G241" t="inlineStr">
        <is>
          <t>OSBY</t>
        </is>
      </c>
      <c r="I241" t="n">
        <v>5.3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27007-2024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45471</v>
      </c>
      <c r="E242" s="1" t="n">
        <v>46321</v>
      </c>
      <c r="F242" t="inlineStr">
        <is>
          <t>SKÅNE LÄN</t>
        </is>
      </c>
      <c r="G242" t="inlineStr">
        <is>
          <t>OSBY</t>
        </is>
      </c>
      <c r="I242" t="n">
        <v>1.8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30936-2026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46213</v>
      </c>
      <c r="E243" s="1" t="n">
        <v>46321</v>
      </c>
      <c r="F243" t="inlineStr">
        <is>
          <t>SKÅNE LÄN</t>
        </is>
      </c>
      <c r="G243" t="inlineStr">
        <is>
          <t>OSBY</t>
        </is>
      </c>
      <c r="H243" t="inlineStr">
        <is>
          <t>Sveaskog</t>
        </is>
      </c>
      <c r="I243" t="n">
        <v>3.7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31639-2024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45506</v>
      </c>
      <c r="E244" s="1" t="n">
        <v>46321</v>
      </c>
      <c r="F244" t="inlineStr">
        <is>
          <t>SKÅNE LÄN</t>
        </is>
      </c>
      <c r="G244" t="inlineStr">
        <is>
          <t>OSBY</t>
        </is>
      </c>
      <c r="I244" t="n">
        <v>0.6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26631-2026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46184</v>
      </c>
      <c r="E245" s="1" t="n">
        <v>46321</v>
      </c>
      <c r="F245" t="inlineStr">
        <is>
          <t>SKÅNE LÄN</t>
        </is>
      </c>
      <c r="G245" t="inlineStr">
        <is>
          <t>OSBY</t>
        </is>
      </c>
      <c r="I245" t="n">
        <v>2.2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60743-2025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45996</v>
      </c>
      <c r="E246" s="1" t="n">
        <v>46321</v>
      </c>
      <c r="F246" t="inlineStr">
        <is>
          <t>SKÅNE LÄN</t>
        </is>
      </c>
      <c r="G246" t="inlineStr">
        <is>
          <t>OSBY</t>
        </is>
      </c>
      <c r="I246" t="n">
        <v>1.7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15653-2024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45404</v>
      </c>
      <c r="E247" s="1" t="n">
        <v>46321</v>
      </c>
      <c r="F247" t="inlineStr">
        <is>
          <t>SKÅNE LÄN</t>
        </is>
      </c>
      <c r="G247" t="inlineStr">
        <is>
          <t>OSBY</t>
        </is>
      </c>
      <c r="I247" t="n">
        <v>3.7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61797-2025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46002</v>
      </c>
      <c r="E248" s="1" t="n">
        <v>46321</v>
      </c>
      <c r="F248" t="inlineStr">
        <is>
          <t>SKÅNE LÄN</t>
        </is>
      </c>
      <c r="G248" t="inlineStr">
        <is>
          <t>OSBY</t>
        </is>
      </c>
      <c r="I248" t="n">
        <v>3.3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20894-2025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45777</v>
      </c>
      <c r="E249" s="1" t="n">
        <v>46321</v>
      </c>
      <c r="F249" t="inlineStr">
        <is>
          <t>SKÅNE LÄN</t>
        </is>
      </c>
      <c r="G249" t="inlineStr">
        <is>
          <t>OSBY</t>
        </is>
      </c>
      <c r="I249" t="n">
        <v>0.6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21570-2025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45782</v>
      </c>
      <c r="E250" s="1" t="n">
        <v>46321</v>
      </c>
      <c r="F250" t="inlineStr">
        <is>
          <t>SKÅNE LÄN</t>
        </is>
      </c>
      <c r="G250" t="inlineStr">
        <is>
          <t>OSBY</t>
        </is>
      </c>
      <c r="I250" t="n">
        <v>15.1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33254-2024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45518</v>
      </c>
      <c r="E251" s="1" t="n">
        <v>46321</v>
      </c>
      <c r="F251" t="inlineStr">
        <is>
          <t>SKÅNE LÄN</t>
        </is>
      </c>
      <c r="G251" t="inlineStr">
        <is>
          <t>OSBY</t>
        </is>
      </c>
      <c r="H251" t="inlineStr">
        <is>
          <t>Naturvårdsverket</t>
        </is>
      </c>
      <c r="I251" t="n">
        <v>6.4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7211-2025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45702</v>
      </c>
      <c r="E252" s="1" t="n">
        <v>46321</v>
      </c>
      <c r="F252" t="inlineStr">
        <is>
          <t>SKÅNE LÄN</t>
        </is>
      </c>
      <c r="G252" t="inlineStr">
        <is>
          <t>OSBY</t>
        </is>
      </c>
      <c r="I252" t="n">
        <v>2.3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10673-2025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45721</v>
      </c>
      <c r="E253" s="1" t="n">
        <v>46321</v>
      </c>
      <c r="F253" t="inlineStr">
        <is>
          <t>SKÅNE LÄN</t>
        </is>
      </c>
      <c r="G253" t="inlineStr">
        <is>
          <t>OSBY</t>
        </is>
      </c>
      <c r="I253" t="n">
        <v>1.7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3451-2023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44949</v>
      </c>
      <c r="E254" s="1" t="n">
        <v>46321</v>
      </c>
      <c r="F254" t="inlineStr">
        <is>
          <t>SKÅNE LÄN</t>
        </is>
      </c>
      <c r="G254" t="inlineStr">
        <is>
          <t>OSBY</t>
        </is>
      </c>
      <c r="I254" t="n">
        <v>2.2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27514-2024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45474</v>
      </c>
      <c r="E255" s="1" t="n">
        <v>46321</v>
      </c>
      <c r="F255" t="inlineStr">
        <is>
          <t>SKÅNE LÄN</t>
        </is>
      </c>
      <c r="G255" t="inlineStr">
        <is>
          <t>OSBY</t>
        </is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57710-2024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45630</v>
      </c>
      <c r="E256" s="1" t="n">
        <v>46321</v>
      </c>
      <c r="F256" t="inlineStr">
        <is>
          <t>SKÅNE LÄN</t>
        </is>
      </c>
      <c r="G256" t="inlineStr">
        <is>
          <t>OSBY</t>
        </is>
      </c>
      <c r="I256" t="n">
        <v>9.5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63892-2025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46020</v>
      </c>
      <c r="E257" s="1" t="n">
        <v>46321</v>
      </c>
      <c r="F257" t="inlineStr">
        <is>
          <t>SKÅNE LÄN</t>
        </is>
      </c>
      <c r="G257" t="inlineStr">
        <is>
          <t>OSBY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63893-2025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46020</v>
      </c>
      <c r="E258" s="1" t="n">
        <v>46321</v>
      </c>
      <c r="F258" t="inlineStr">
        <is>
          <t>SKÅNE LÄN</t>
        </is>
      </c>
      <c r="G258" t="inlineStr">
        <is>
          <t>OSBY</t>
        </is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57218-2022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44895</v>
      </c>
      <c r="E259" s="1" t="n">
        <v>46321</v>
      </c>
      <c r="F259" t="inlineStr">
        <is>
          <t>SKÅNE LÄN</t>
        </is>
      </c>
      <c r="G259" t="inlineStr">
        <is>
          <t>OSBY</t>
        </is>
      </c>
      <c r="I259" t="n">
        <v>3.9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42614-2025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45905</v>
      </c>
      <c r="E260" s="1" t="n">
        <v>46321</v>
      </c>
      <c r="F260" t="inlineStr">
        <is>
          <t>SKÅNE LÄN</t>
        </is>
      </c>
      <c r="G260" t="inlineStr">
        <is>
          <t>OSBY</t>
        </is>
      </c>
      <c r="H260" t="inlineStr">
        <is>
          <t>Kyrkan</t>
        </is>
      </c>
      <c r="I260" t="n">
        <v>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691-2026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46029</v>
      </c>
      <c r="E261" s="1" t="n">
        <v>46321</v>
      </c>
      <c r="F261" t="inlineStr">
        <is>
          <t>SKÅNE LÄN</t>
        </is>
      </c>
      <c r="G261" t="inlineStr">
        <is>
          <t>OSBY</t>
        </is>
      </c>
      <c r="I261" t="n">
        <v>2.3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546-2026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46029</v>
      </c>
      <c r="E262" s="1" t="n">
        <v>46321</v>
      </c>
      <c r="F262" t="inlineStr">
        <is>
          <t>SKÅNE LÄN</t>
        </is>
      </c>
      <c r="G262" t="inlineStr">
        <is>
          <t>OSBY</t>
        </is>
      </c>
      <c r="I262" t="n">
        <v>1.4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38491-2026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46282</v>
      </c>
      <c r="E263" s="1" t="n">
        <v>46321</v>
      </c>
      <c r="F263" t="inlineStr">
        <is>
          <t>SKÅNE LÄN</t>
        </is>
      </c>
      <c r="G263" t="inlineStr">
        <is>
          <t>OSBY</t>
        </is>
      </c>
      <c r="I263" t="n">
        <v>2.4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38493-2026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46282</v>
      </c>
      <c r="E264" s="1" t="n">
        <v>46321</v>
      </c>
      <c r="F264" t="inlineStr">
        <is>
          <t>SKÅNE LÄN</t>
        </is>
      </c>
      <c r="G264" t="inlineStr">
        <is>
          <t>OSBY</t>
        </is>
      </c>
      <c r="I264" t="n">
        <v>0.7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9987-2025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45719</v>
      </c>
      <c r="E265" s="1" t="n">
        <v>46321</v>
      </c>
      <c r="F265" t="inlineStr">
        <is>
          <t>SKÅNE LÄN</t>
        </is>
      </c>
      <c r="G265" t="inlineStr">
        <is>
          <t>OSBY</t>
        </is>
      </c>
      <c r="I265" t="n">
        <v>1.7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22902-2024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45448</v>
      </c>
      <c r="E266" s="1" t="n">
        <v>46321</v>
      </c>
      <c r="F266" t="inlineStr">
        <is>
          <t>SKÅNE LÄN</t>
        </is>
      </c>
      <c r="G266" t="inlineStr">
        <is>
          <t>OSBY</t>
        </is>
      </c>
      <c r="I266" t="n">
        <v>1.4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1634-2026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46034</v>
      </c>
      <c r="E267" s="1" t="n">
        <v>46321</v>
      </c>
      <c r="F267" t="inlineStr">
        <is>
          <t>SKÅNE LÄN</t>
        </is>
      </c>
      <c r="G267" t="inlineStr">
        <is>
          <t>OSBY</t>
        </is>
      </c>
      <c r="I267" t="n">
        <v>0.9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15359-2023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45019</v>
      </c>
      <c r="E268" s="1" t="n">
        <v>46321</v>
      </c>
      <c r="F268" t="inlineStr">
        <is>
          <t>SKÅNE LÄN</t>
        </is>
      </c>
      <c r="G268" t="inlineStr">
        <is>
          <t>OSBY</t>
        </is>
      </c>
      <c r="I268" t="n">
        <v>5.4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8208-2025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45708</v>
      </c>
      <c r="E269" s="1" t="n">
        <v>46321</v>
      </c>
      <c r="F269" t="inlineStr">
        <is>
          <t>SKÅNE LÄN</t>
        </is>
      </c>
      <c r="G269" t="inlineStr">
        <is>
          <t>OSBY</t>
        </is>
      </c>
      <c r="I269" t="n">
        <v>1.1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2666-2026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46037</v>
      </c>
      <c r="E270" s="1" t="n">
        <v>46321</v>
      </c>
      <c r="F270" t="inlineStr">
        <is>
          <t>SKÅNE LÄN</t>
        </is>
      </c>
      <c r="G270" t="inlineStr">
        <is>
          <t>OSBY</t>
        </is>
      </c>
      <c r="I270" t="n">
        <v>1.7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13959-2025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45737</v>
      </c>
      <c r="E271" s="1" t="n">
        <v>46321</v>
      </c>
      <c r="F271" t="inlineStr">
        <is>
          <t>SKÅNE LÄN</t>
        </is>
      </c>
      <c r="G271" t="inlineStr">
        <is>
          <t>OSBY</t>
        </is>
      </c>
      <c r="I271" t="n">
        <v>3.3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20599-2024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45436</v>
      </c>
      <c r="E272" s="1" t="n">
        <v>46321</v>
      </c>
      <c r="F272" t="inlineStr">
        <is>
          <t>SKÅNE LÄN</t>
        </is>
      </c>
      <c r="G272" t="inlineStr">
        <is>
          <t>OSBY</t>
        </is>
      </c>
      <c r="I272" t="n">
        <v>1.7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41557-2022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44827</v>
      </c>
      <c r="E273" s="1" t="n">
        <v>46321</v>
      </c>
      <c r="F273" t="inlineStr">
        <is>
          <t>SKÅNE LÄN</t>
        </is>
      </c>
      <c r="G273" t="inlineStr">
        <is>
          <t>OSBY</t>
        </is>
      </c>
      <c r="I273" t="n">
        <v>1.5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8838-2024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45356</v>
      </c>
      <c r="E274" s="1" t="n">
        <v>46321</v>
      </c>
      <c r="F274" t="inlineStr">
        <is>
          <t>SKÅNE LÄN</t>
        </is>
      </c>
      <c r="G274" t="inlineStr">
        <is>
          <t>OSBY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8207-2025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45708</v>
      </c>
      <c r="E275" s="1" t="n">
        <v>46321</v>
      </c>
      <c r="F275" t="inlineStr">
        <is>
          <t>SKÅNE LÄN</t>
        </is>
      </c>
      <c r="G275" t="inlineStr">
        <is>
          <t>OSBY</t>
        </is>
      </c>
      <c r="I275" t="n">
        <v>5.7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20813-2023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45055</v>
      </c>
      <c r="E276" s="1" t="n">
        <v>46321</v>
      </c>
      <c r="F276" t="inlineStr">
        <is>
          <t>SKÅNE LÄN</t>
        </is>
      </c>
      <c r="G276" t="inlineStr">
        <is>
          <t>OSBY</t>
        </is>
      </c>
      <c r="I276" t="n">
        <v>4.6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40035-2024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45553</v>
      </c>
      <c r="E277" s="1" t="n">
        <v>46321</v>
      </c>
      <c r="F277" t="inlineStr">
        <is>
          <t>SKÅNE LÄN</t>
        </is>
      </c>
      <c r="G277" t="inlineStr">
        <is>
          <t>OSBY</t>
        </is>
      </c>
      <c r="H277" t="inlineStr">
        <is>
          <t>Kommuner</t>
        </is>
      </c>
      <c r="I277" t="n">
        <v>2.1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22223-2024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45446</v>
      </c>
      <c r="E278" s="1" t="n">
        <v>46321</v>
      </c>
      <c r="F278" t="inlineStr">
        <is>
          <t>SKÅNE LÄN</t>
        </is>
      </c>
      <c r="G278" t="inlineStr">
        <is>
          <t>OSBY</t>
        </is>
      </c>
      <c r="I278" t="n">
        <v>1.3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26988-2024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45471</v>
      </c>
      <c r="E279" s="1" t="n">
        <v>46321</v>
      </c>
      <c r="F279" t="inlineStr">
        <is>
          <t>SKÅNE LÄN</t>
        </is>
      </c>
      <c r="G279" t="inlineStr">
        <is>
          <t>OSBY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25703-2025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45803</v>
      </c>
      <c r="E280" s="1" t="n">
        <v>46321</v>
      </c>
      <c r="F280" t="inlineStr">
        <is>
          <t>SKÅNE LÄN</t>
        </is>
      </c>
      <c r="G280" t="inlineStr">
        <is>
          <t>OSBY</t>
        </is>
      </c>
      <c r="I280" t="n">
        <v>1.9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39781-2026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46290</v>
      </c>
      <c r="E281" s="1" t="n">
        <v>46321</v>
      </c>
      <c r="F281" t="inlineStr">
        <is>
          <t>SKÅNE LÄN</t>
        </is>
      </c>
      <c r="G281" t="inlineStr">
        <is>
          <t>OSBY</t>
        </is>
      </c>
      <c r="H281" t="inlineStr">
        <is>
          <t>Sveaskog</t>
        </is>
      </c>
      <c r="I281" t="n">
        <v>2.2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66984-2021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44522</v>
      </c>
      <c r="E282" s="1" t="n">
        <v>46321</v>
      </c>
      <c r="F282" t="inlineStr">
        <is>
          <t>SKÅNE LÄN</t>
        </is>
      </c>
      <c r="G282" t="inlineStr">
        <is>
          <t>OSBY</t>
        </is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26222-2025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45805</v>
      </c>
      <c r="E283" s="1" t="n">
        <v>46321</v>
      </c>
      <c r="F283" t="inlineStr">
        <is>
          <t>SKÅNE LÄN</t>
        </is>
      </c>
      <c r="G283" t="inlineStr">
        <is>
          <t>OSBY</t>
        </is>
      </c>
      <c r="I283" t="n">
        <v>1.3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39661-2026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46289</v>
      </c>
      <c r="E284" s="1" t="n">
        <v>46321</v>
      </c>
      <c r="F284" t="inlineStr">
        <is>
          <t>SKÅNE LÄN</t>
        </is>
      </c>
      <c r="G284" t="inlineStr">
        <is>
          <t>OSBY</t>
        </is>
      </c>
      <c r="I284" t="n">
        <v>1.3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39587-2026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46289</v>
      </c>
      <c r="E285" s="1" t="n">
        <v>46321</v>
      </c>
      <c r="F285" t="inlineStr">
        <is>
          <t>SKÅNE LÄN</t>
        </is>
      </c>
      <c r="G285" t="inlineStr">
        <is>
          <t>OSBY</t>
        </is>
      </c>
      <c r="H285" t="inlineStr">
        <is>
          <t>Sveaskog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58751-2024</t>
        </is>
      </c>
      <c r="B286" t="inlineStr">
        <is>
          <t>avverkningsanmälan</t>
        </is>
      </c>
      <c r="C286" t="inlineStr">
        <is>
          <t>Avverkning för att bevara och utveckla /försöksver</t>
        </is>
      </c>
      <c r="D286" s="1" t="n">
        <v>45635</v>
      </c>
      <c r="E286" s="1" t="n">
        <v>46321</v>
      </c>
      <c r="F286" t="inlineStr">
        <is>
          <t>SKÅNE LÄN</t>
        </is>
      </c>
      <c r="G286" t="inlineStr">
        <is>
          <t>OSBY</t>
        </is>
      </c>
      <c r="I286" t="n">
        <v>4.8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9828-2026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46071</v>
      </c>
      <c r="E287" s="1" t="n">
        <v>46321</v>
      </c>
      <c r="F287" t="inlineStr">
        <is>
          <t>SKÅNE LÄN</t>
        </is>
      </c>
      <c r="G287" t="inlineStr">
        <is>
          <t>OSBY</t>
        </is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34108-2026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46253</v>
      </c>
      <c r="E288" s="1" t="n">
        <v>46321</v>
      </c>
      <c r="F288" t="inlineStr">
        <is>
          <t>SKÅNE LÄN</t>
        </is>
      </c>
      <c r="G288" t="inlineStr">
        <is>
          <t>OSBY</t>
        </is>
      </c>
      <c r="I288" t="n">
        <v>0.9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10237-2026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46076</v>
      </c>
      <c r="E289" s="1" t="n">
        <v>46321</v>
      </c>
      <c r="F289" t="inlineStr">
        <is>
          <t>SKÅNE LÄN</t>
        </is>
      </c>
      <c r="G289" t="inlineStr">
        <is>
          <t>OSBY</t>
        </is>
      </c>
      <c r="I289" t="n">
        <v>2.3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31638-2025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45834</v>
      </c>
      <c r="E290" s="1" t="n">
        <v>46321</v>
      </c>
      <c r="F290" t="inlineStr">
        <is>
          <t>SKÅNE LÄN</t>
        </is>
      </c>
      <c r="G290" t="inlineStr">
        <is>
          <t>OSBY</t>
        </is>
      </c>
      <c r="I290" t="n">
        <v>2.7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34310-2026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46254</v>
      </c>
      <c r="E291" s="1" t="n">
        <v>46321</v>
      </c>
      <c r="F291" t="inlineStr">
        <is>
          <t>SKÅNE LÄN</t>
        </is>
      </c>
      <c r="G291" t="inlineStr">
        <is>
          <t>OSBY</t>
        </is>
      </c>
      <c r="I291" t="n">
        <v>2.4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31947-2025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45835</v>
      </c>
      <c r="E292" s="1" t="n">
        <v>46321</v>
      </c>
      <c r="F292" t="inlineStr">
        <is>
          <t>SKÅNE LÄN</t>
        </is>
      </c>
      <c r="G292" t="inlineStr">
        <is>
          <t>OSBY</t>
        </is>
      </c>
      <c r="I292" t="n">
        <v>6.1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12362-2026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46089</v>
      </c>
      <c r="E293" s="1" t="n">
        <v>46321</v>
      </c>
      <c r="F293" t="inlineStr">
        <is>
          <t>SKÅNE LÄN</t>
        </is>
      </c>
      <c r="G293" t="inlineStr">
        <is>
          <t>OSBY</t>
        </is>
      </c>
      <c r="I293" t="n">
        <v>1.2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32518-2025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45838</v>
      </c>
      <c r="E294" s="1" t="n">
        <v>46321</v>
      </c>
      <c r="F294" t="inlineStr">
        <is>
          <t>SKÅNE LÄN</t>
        </is>
      </c>
      <c r="G294" t="inlineStr">
        <is>
          <t>OSBY</t>
        </is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12363-2026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46089</v>
      </c>
      <c r="E295" s="1" t="n">
        <v>46321</v>
      </c>
      <c r="F295" t="inlineStr">
        <is>
          <t>SKÅNE LÄN</t>
        </is>
      </c>
      <c r="G295" t="inlineStr">
        <is>
          <t>OSBY</t>
        </is>
      </c>
      <c r="I295" t="n">
        <v>1.5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32520-2025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45838</v>
      </c>
      <c r="E296" s="1" t="n">
        <v>46321</v>
      </c>
      <c r="F296" t="inlineStr">
        <is>
          <t>SKÅNE LÄN</t>
        </is>
      </c>
      <c r="G296" t="inlineStr">
        <is>
          <t>OSBY</t>
        </is>
      </c>
      <c r="I296" t="n">
        <v>1.2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33251-2024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45518</v>
      </c>
      <c r="E297" s="1" t="n">
        <v>46321</v>
      </c>
      <c r="F297" t="inlineStr">
        <is>
          <t>SKÅNE LÄN</t>
        </is>
      </c>
      <c r="G297" t="inlineStr">
        <is>
          <t>OSBY</t>
        </is>
      </c>
      <c r="H297" t="inlineStr">
        <is>
          <t>Naturvårdsverket</t>
        </is>
      </c>
      <c r="I297" t="n">
        <v>6.4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30145-2025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45826</v>
      </c>
      <c r="E298" s="1" t="n">
        <v>46321</v>
      </c>
      <c r="F298" t="inlineStr">
        <is>
          <t>SKÅNE LÄN</t>
        </is>
      </c>
      <c r="G298" t="inlineStr">
        <is>
          <t>OSBY</t>
        </is>
      </c>
      <c r="I298" t="n">
        <v>0.6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62117-2022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44921</v>
      </c>
      <c r="E299" s="1" t="n">
        <v>46321</v>
      </c>
      <c r="F299" t="inlineStr">
        <is>
          <t>SKÅNE LÄN</t>
        </is>
      </c>
      <c r="G299" t="inlineStr">
        <is>
          <t>OSBY</t>
        </is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33429-2026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46247</v>
      </c>
      <c r="E300" s="1" t="n">
        <v>46321</v>
      </c>
      <c r="F300" t="inlineStr">
        <is>
          <t>SKÅNE LÄN</t>
        </is>
      </c>
      <c r="G300" t="inlineStr">
        <is>
          <t>OSBY</t>
        </is>
      </c>
      <c r="I300" t="n">
        <v>4.4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14563-2026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46100</v>
      </c>
      <c r="E301" s="1" t="n">
        <v>46321</v>
      </c>
      <c r="F301" t="inlineStr">
        <is>
          <t>SKÅNE LÄN</t>
        </is>
      </c>
      <c r="G301" t="inlineStr">
        <is>
          <t>OSBY</t>
        </is>
      </c>
      <c r="I301" t="n">
        <v>3.3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14564-2026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46100</v>
      </c>
      <c r="E302" s="1" t="n">
        <v>46321</v>
      </c>
      <c r="F302" t="inlineStr">
        <is>
          <t>SKÅNE LÄN</t>
        </is>
      </c>
      <c r="G302" t="inlineStr">
        <is>
          <t>OSBY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34053-2025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45845</v>
      </c>
      <c r="E303" s="1" t="n">
        <v>46321</v>
      </c>
      <c r="F303" t="inlineStr">
        <is>
          <t>SKÅNE LÄN</t>
        </is>
      </c>
      <c r="G303" t="inlineStr">
        <is>
          <t>OSBY</t>
        </is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34227-2025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45844</v>
      </c>
      <c r="E304" s="1" t="n">
        <v>46321</v>
      </c>
      <c r="F304" t="inlineStr">
        <is>
          <t>SKÅNE LÄN</t>
        </is>
      </c>
      <c r="G304" t="inlineStr">
        <is>
          <t>OSBY</t>
        </is>
      </c>
      <c r="I304" t="n">
        <v>3.8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34047-2025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45845</v>
      </c>
      <c r="E305" s="1" t="n">
        <v>46321</v>
      </c>
      <c r="F305" t="inlineStr">
        <is>
          <t>SKÅNE LÄN</t>
        </is>
      </c>
      <c r="G305" t="inlineStr">
        <is>
          <t>OSBY</t>
        </is>
      </c>
      <c r="I305" t="n">
        <v>8.800000000000001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41652-2026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46302</v>
      </c>
      <c r="E306" s="1" t="n">
        <v>46321</v>
      </c>
      <c r="F306" t="inlineStr">
        <is>
          <t>SKÅNE LÄN</t>
        </is>
      </c>
      <c r="G306" t="inlineStr">
        <is>
          <t>OSBY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20113-2024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45434</v>
      </c>
      <c r="E307" s="1" t="n">
        <v>46321</v>
      </c>
      <c r="F307" t="inlineStr">
        <is>
          <t>SKÅNE LÄN</t>
        </is>
      </c>
      <c r="G307" t="inlineStr">
        <is>
          <t>OSBY</t>
        </is>
      </c>
      <c r="I307" t="n">
        <v>1.3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12058-2024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45377</v>
      </c>
      <c r="E308" s="1" t="n">
        <v>46321</v>
      </c>
      <c r="F308" t="inlineStr">
        <is>
          <t>SKÅNE LÄN</t>
        </is>
      </c>
      <c r="G308" t="inlineStr">
        <is>
          <t>OSBY</t>
        </is>
      </c>
      <c r="I308" t="n">
        <v>0.9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41645-2026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46302</v>
      </c>
      <c r="E309" s="1" t="n">
        <v>46321</v>
      </c>
      <c r="F309" t="inlineStr">
        <is>
          <t>SKÅNE LÄN</t>
        </is>
      </c>
      <c r="G309" t="inlineStr">
        <is>
          <t>OSBY</t>
        </is>
      </c>
      <c r="I309" t="n">
        <v>1.1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15232-2025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45744</v>
      </c>
      <c r="E310" s="1" t="n">
        <v>46321</v>
      </c>
      <c r="F310" t="inlineStr">
        <is>
          <t>SKÅNE LÄN</t>
        </is>
      </c>
      <c r="G310" t="inlineStr">
        <is>
          <t>OSBY</t>
        </is>
      </c>
      <c r="I310" t="n">
        <v>1.5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38998-2024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45548</v>
      </c>
      <c r="E311" s="1" t="n">
        <v>46321</v>
      </c>
      <c r="F311" t="inlineStr">
        <is>
          <t>SKÅNE LÄN</t>
        </is>
      </c>
      <c r="G311" t="inlineStr">
        <is>
          <t>OSBY</t>
        </is>
      </c>
      <c r="I311" t="n">
        <v>1.6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41981-2026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46303</v>
      </c>
      <c r="E312" s="1" t="n">
        <v>46321</v>
      </c>
      <c r="F312" t="inlineStr">
        <is>
          <t>SKÅNE LÄN</t>
        </is>
      </c>
      <c r="G312" t="inlineStr">
        <is>
          <t>OSBY</t>
        </is>
      </c>
      <c r="I312" t="n">
        <v>1.7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41908-2026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46303</v>
      </c>
      <c r="E313" s="1" t="n">
        <v>46321</v>
      </c>
      <c r="F313" t="inlineStr">
        <is>
          <t>SKÅNE LÄN</t>
        </is>
      </c>
      <c r="G313" t="inlineStr">
        <is>
          <t>OSBY</t>
        </is>
      </c>
      <c r="I313" t="n">
        <v>0.7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23479-2024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45453</v>
      </c>
      <c r="E314" s="1" t="n">
        <v>46321</v>
      </c>
      <c r="F314" t="inlineStr">
        <is>
          <t>SKÅNE LÄN</t>
        </is>
      </c>
      <c r="G314" t="inlineStr">
        <is>
          <t>OSBY</t>
        </is>
      </c>
      <c r="H314" t="inlineStr">
        <is>
          <t>Sveaskog</t>
        </is>
      </c>
      <c r="I314" t="n">
        <v>4.5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18406-2026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46126</v>
      </c>
      <c r="E315" s="1" t="n">
        <v>46321</v>
      </c>
      <c r="F315" t="inlineStr">
        <is>
          <t>SKÅNE LÄN</t>
        </is>
      </c>
      <c r="G315" t="inlineStr">
        <is>
          <t>OSBY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35703-2026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46265</v>
      </c>
      <c r="E316" s="1" t="n">
        <v>46321</v>
      </c>
      <c r="F316" t="inlineStr">
        <is>
          <t>SKÅNE LÄN</t>
        </is>
      </c>
      <c r="G316" t="inlineStr">
        <is>
          <t>OSBY</t>
        </is>
      </c>
      <c r="H316" t="inlineStr">
        <is>
          <t>Sveaskog</t>
        </is>
      </c>
      <c r="I316" t="n">
        <v>1.4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35698-2026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46265</v>
      </c>
      <c r="E317" s="1" t="n">
        <v>46321</v>
      </c>
      <c r="F317" t="inlineStr">
        <is>
          <t>SKÅNE LÄN</t>
        </is>
      </c>
      <c r="G317" t="inlineStr">
        <is>
          <t>OSBY</t>
        </is>
      </c>
      <c r="H317" t="inlineStr">
        <is>
          <t>Sveaskog</t>
        </is>
      </c>
      <c r="I317" t="n">
        <v>1.4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35701-2026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46265</v>
      </c>
      <c r="E318" s="1" t="n">
        <v>46321</v>
      </c>
      <c r="F318" t="inlineStr">
        <is>
          <t>SKÅNE LÄN</t>
        </is>
      </c>
      <c r="G318" t="inlineStr">
        <is>
          <t>OSBY</t>
        </is>
      </c>
      <c r="H318" t="inlineStr">
        <is>
          <t>Sveaskog</t>
        </is>
      </c>
      <c r="I318" t="n">
        <v>1.5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35704-2026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46265</v>
      </c>
      <c r="E319" s="1" t="n">
        <v>46321</v>
      </c>
      <c r="F319" t="inlineStr">
        <is>
          <t>SKÅNE LÄN</t>
        </is>
      </c>
      <c r="G319" t="inlineStr">
        <is>
          <t>OSBY</t>
        </is>
      </c>
      <c r="H319" t="inlineStr">
        <is>
          <t>Sveaskog</t>
        </is>
      </c>
      <c r="I319" t="n">
        <v>1.1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8382-2022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44610</v>
      </c>
      <c r="E320" s="1" t="n">
        <v>46321</v>
      </c>
      <c r="F320" t="inlineStr">
        <is>
          <t>SKÅNE LÄN</t>
        </is>
      </c>
      <c r="G320" t="inlineStr">
        <is>
          <t>OSBY</t>
        </is>
      </c>
      <c r="I320" t="n">
        <v>0.6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19344-2026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46133</v>
      </c>
      <c r="E321" s="1" t="n">
        <v>46321</v>
      </c>
      <c r="F321" t="inlineStr">
        <is>
          <t>SKÅNE LÄN</t>
        </is>
      </c>
      <c r="G321" t="inlineStr">
        <is>
          <t>OSBY</t>
        </is>
      </c>
      <c r="I321" t="n">
        <v>1.8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19343-2026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46133</v>
      </c>
      <c r="E322" s="1" t="n">
        <v>46321</v>
      </c>
      <c r="F322" t="inlineStr">
        <is>
          <t>SKÅNE LÄN</t>
        </is>
      </c>
      <c r="G322" t="inlineStr">
        <is>
          <t>OSBY</t>
        </is>
      </c>
      <c r="I322" t="n">
        <v>2.6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19336-2026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46133</v>
      </c>
      <c r="E323" s="1" t="n">
        <v>46321</v>
      </c>
      <c r="F323" t="inlineStr">
        <is>
          <t>SKÅNE LÄN</t>
        </is>
      </c>
      <c r="G323" t="inlineStr">
        <is>
          <t>OSBY</t>
        </is>
      </c>
      <c r="I323" t="n">
        <v>0.5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35748-2026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46265</v>
      </c>
      <c r="E324" s="1" t="n">
        <v>46321</v>
      </c>
      <c r="F324" t="inlineStr">
        <is>
          <t>SKÅNE LÄN</t>
        </is>
      </c>
      <c r="G324" t="inlineStr">
        <is>
          <t>OSBY</t>
        </is>
      </c>
      <c r="H324" t="inlineStr">
        <is>
          <t>Sveaskog</t>
        </is>
      </c>
      <c r="I324" t="n">
        <v>0.8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38486-2023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45162</v>
      </c>
      <c r="E325" s="1" t="n">
        <v>46321</v>
      </c>
      <c r="F325" t="inlineStr">
        <is>
          <t>SKÅNE LÄN</t>
        </is>
      </c>
      <c r="G325" t="inlineStr">
        <is>
          <t>OSBY</t>
        </is>
      </c>
      <c r="I325" t="n">
        <v>0.6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35722-2026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46265</v>
      </c>
      <c r="E326" s="1" t="n">
        <v>46321</v>
      </c>
      <c r="F326" t="inlineStr">
        <is>
          <t>SKÅNE LÄN</t>
        </is>
      </c>
      <c r="G326" t="inlineStr">
        <is>
          <t>OSBY</t>
        </is>
      </c>
      <c r="H326" t="inlineStr">
        <is>
          <t>Sveaskog</t>
        </is>
      </c>
      <c r="I326" t="n">
        <v>3.2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11773-2023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44994</v>
      </c>
      <c r="E327" s="1" t="n">
        <v>46321</v>
      </c>
      <c r="F327" t="inlineStr">
        <is>
          <t>SKÅNE LÄN</t>
        </is>
      </c>
      <c r="G327" t="inlineStr">
        <is>
          <t>OSBY</t>
        </is>
      </c>
      <c r="I327" t="n">
        <v>2.1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27527-2023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45097</v>
      </c>
      <c r="E328" s="1" t="n">
        <v>46321</v>
      </c>
      <c r="F328" t="inlineStr">
        <is>
          <t>SKÅNE LÄN</t>
        </is>
      </c>
      <c r="G328" t="inlineStr">
        <is>
          <t>OSBY</t>
        </is>
      </c>
      <c r="I328" t="n">
        <v>1.9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9803-2024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45362</v>
      </c>
      <c r="E329" s="1" t="n">
        <v>46321</v>
      </c>
      <c r="F329" t="inlineStr">
        <is>
          <t>SKÅNE LÄN</t>
        </is>
      </c>
      <c r="G329" t="inlineStr">
        <is>
          <t>OSBY</t>
        </is>
      </c>
      <c r="H329" t="inlineStr">
        <is>
          <t>Sveaskog</t>
        </is>
      </c>
      <c r="I329" t="n">
        <v>1.1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35719-2026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46265</v>
      </c>
      <c r="E330" s="1" t="n">
        <v>46321</v>
      </c>
      <c r="F330" t="inlineStr">
        <is>
          <t>SKÅNE LÄN</t>
        </is>
      </c>
      <c r="G330" t="inlineStr">
        <is>
          <t>OSBY</t>
        </is>
      </c>
      <c r="H330" t="inlineStr">
        <is>
          <t>Sveaskog</t>
        </is>
      </c>
      <c r="I330" t="n">
        <v>5.1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58562-2022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44902</v>
      </c>
      <c r="E331" s="1" t="n">
        <v>46321</v>
      </c>
      <c r="F331" t="inlineStr">
        <is>
          <t>SKÅNE LÄN</t>
        </is>
      </c>
      <c r="G331" t="inlineStr">
        <is>
          <t>OSBY</t>
        </is>
      </c>
      <c r="H331" t="inlineStr">
        <is>
          <t>Sveaskog</t>
        </is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35716-2026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46265</v>
      </c>
      <c r="E332" s="1" t="n">
        <v>46321</v>
      </c>
      <c r="F332" t="inlineStr">
        <is>
          <t>SKÅNE LÄN</t>
        </is>
      </c>
      <c r="G332" t="inlineStr">
        <is>
          <t>OSBY</t>
        </is>
      </c>
      <c r="H332" t="inlineStr">
        <is>
          <t>Sveaskog</t>
        </is>
      </c>
      <c r="I332" t="n">
        <v>4.3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42793-2025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45908</v>
      </c>
      <c r="E333" s="1" t="n">
        <v>46321</v>
      </c>
      <c r="F333" t="inlineStr">
        <is>
          <t>SKÅNE LÄN</t>
        </is>
      </c>
      <c r="G333" t="inlineStr">
        <is>
          <t>OSBY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22064-2025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45785</v>
      </c>
      <c r="E334" s="1" t="n">
        <v>46321</v>
      </c>
      <c r="F334" t="inlineStr">
        <is>
          <t>SKÅNE LÄN</t>
        </is>
      </c>
      <c r="G334" t="inlineStr">
        <is>
          <t>OSBY</t>
        </is>
      </c>
      <c r="I334" t="n">
        <v>1.4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59245-2025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45988</v>
      </c>
      <c r="E335" s="1" t="n">
        <v>46321</v>
      </c>
      <c r="F335" t="inlineStr">
        <is>
          <t>SKÅNE LÄN</t>
        </is>
      </c>
      <c r="G335" t="inlineStr">
        <is>
          <t>OSBY</t>
        </is>
      </c>
      <c r="I335" t="n">
        <v>7.7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42937-2026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46310</v>
      </c>
      <c r="E336" s="1" t="n">
        <v>46321</v>
      </c>
      <c r="F336" t="inlineStr">
        <is>
          <t>SKÅNE LÄN</t>
        </is>
      </c>
      <c r="G336" t="inlineStr">
        <is>
          <t>OSBY</t>
        </is>
      </c>
      <c r="I336" t="n">
        <v>0.7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42717-2026</t>
        </is>
      </c>
      <c r="B337" t="inlineStr">
        <is>
          <t>avverkningsanmälan</t>
        </is>
      </c>
      <c r="C337" t="inlineStr">
        <is>
          <t>Avverkning för att bevara och utveckla /försöksver</t>
        </is>
      </c>
      <c r="D337" s="1" t="n">
        <v>46308</v>
      </c>
      <c r="E337" s="1" t="n">
        <v>46321</v>
      </c>
      <c r="F337" t="inlineStr">
        <is>
          <t>SKÅNE LÄN</t>
        </is>
      </c>
      <c r="G337" t="inlineStr">
        <is>
          <t>OSBY</t>
        </is>
      </c>
      <c r="H337" t="inlineStr">
        <is>
          <t>Kyrkan</t>
        </is>
      </c>
      <c r="I337" t="n">
        <v>1.2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1068-2025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45666</v>
      </c>
      <c r="E338" s="1" t="n">
        <v>46321</v>
      </c>
      <c r="F338" t="inlineStr">
        <is>
          <t>SKÅNE LÄN</t>
        </is>
      </c>
      <c r="G338" t="inlineStr">
        <is>
          <t>OSBY</t>
        </is>
      </c>
      <c r="I338" t="n">
        <v>1.3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18333-2025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45762</v>
      </c>
      <c r="E339" s="1" t="n">
        <v>46321</v>
      </c>
      <c r="F339" t="inlineStr">
        <is>
          <t>SKÅNE LÄN</t>
        </is>
      </c>
      <c r="G339" t="inlineStr">
        <is>
          <t>OSBY</t>
        </is>
      </c>
      <c r="I339" t="n">
        <v>3.1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41977-2023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45177</v>
      </c>
      <c r="E340" s="1" t="n">
        <v>46321</v>
      </c>
      <c r="F340" t="inlineStr">
        <is>
          <t>SKÅNE LÄN</t>
        </is>
      </c>
      <c r="G340" t="inlineStr">
        <is>
          <t>OSBY</t>
        </is>
      </c>
      <c r="I340" t="n">
        <v>1.2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9840-2022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44620</v>
      </c>
      <c r="E341" s="1" t="n">
        <v>46321</v>
      </c>
      <c r="F341" t="inlineStr">
        <is>
          <t>SKÅNE LÄN</t>
        </is>
      </c>
      <c r="G341" t="inlineStr">
        <is>
          <t>OSBY</t>
        </is>
      </c>
      <c r="H341" t="inlineStr">
        <is>
          <t>Kommuner</t>
        </is>
      </c>
      <c r="I341" t="n">
        <v>5.9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35917-2026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46266</v>
      </c>
      <c r="E342" s="1" t="n">
        <v>46321</v>
      </c>
      <c r="F342" t="inlineStr">
        <is>
          <t>SKÅNE LÄN</t>
        </is>
      </c>
      <c r="G342" t="inlineStr">
        <is>
          <t>OSBY</t>
        </is>
      </c>
      <c r="I342" t="n">
        <v>0.7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9840-2022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44620</v>
      </c>
      <c r="E343" s="1" t="n">
        <v>46321</v>
      </c>
      <c r="F343" t="inlineStr">
        <is>
          <t>SKÅNE LÄN</t>
        </is>
      </c>
      <c r="G343" t="inlineStr">
        <is>
          <t>OSBY</t>
        </is>
      </c>
      <c r="H343" t="inlineStr">
        <is>
          <t>Kommuner</t>
        </is>
      </c>
      <c r="I343" t="n">
        <v>5.9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15234-2025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45744</v>
      </c>
      <c r="E344" s="1" t="n">
        <v>46321</v>
      </c>
      <c r="F344" t="inlineStr">
        <is>
          <t>SKÅNE LÄN</t>
        </is>
      </c>
      <c r="G344" t="inlineStr">
        <is>
          <t>OSBY</t>
        </is>
      </c>
      <c r="I344" t="n">
        <v>0.6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69093-2021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44530</v>
      </c>
      <c r="E345" s="1" t="n">
        <v>46321</v>
      </c>
      <c r="F345" t="inlineStr">
        <is>
          <t>SKÅNE LÄN</t>
        </is>
      </c>
      <c r="G345" t="inlineStr">
        <is>
          <t>OSBY</t>
        </is>
      </c>
      <c r="H345" t="inlineStr">
        <is>
          <t>Kommuner</t>
        </is>
      </c>
      <c r="I345" t="n">
        <v>2.7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36080-2026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46267</v>
      </c>
      <c r="E346" s="1" t="n">
        <v>46321</v>
      </c>
      <c r="F346" t="inlineStr">
        <is>
          <t>SKÅNE LÄN</t>
        </is>
      </c>
      <c r="G346" t="inlineStr">
        <is>
          <t>OSBY</t>
        </is>
      </c>
      <c r="I346" t="n">
        <v>1.3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31640-2024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45506</v>
      </c>
      <c r="E347" s="1" t="n">
        <v>46321</v>
      </c>
      <c r="F347" t="inlineStr">
        <is>
          <t>SKÅNE LÄN</t>
        </is>
      </c>
      <c r="G347" t="inlineStr">
        <is>
          <t>OSBY</t>
        </is>
      </c>
      <c r="I347" t="n">
        <v>0.5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35959-2026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46266</v>
      </c>
      <c r="E348" s="1" t="n">
        <v>46321</v>
      </c>
      <c r="F348" t="inlineStr">
        <is>
          <t>SKÅNE LÄN</t>
        </is>
      </c>
      <c r="G348" t="inlineStr">
        <is>
          <t>OSBY</t>
        </is>
      </c>
      <c r="I348" t="n">
        <v>7.2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42814-2026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46309</v>
      </c>
      <c r="E349" s="1" t="n">
        <v>46321</v>
      </c>
      <c r="F349" t="inlineStr">
        <is>
          <t>SKÅNE LÄN</t>
        </is>
      </c>
      <c r="G349" t="inlineStr">
        <is>
          <t>OSBY</t>
        </is>
      </c>
      <c r="I349" t="n">
        <v>2.6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59236-2022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44904</v>
      </c>
      <c r="E350" s="1" t="n">
        <v>46321</v>
      </c>
      <c r="F350" t="inlineStr">
        <is>
          <t>SKÅNE LÄN</t>
        </is>
      </c>
      <c r="G350" t="inlineStr">
        <is>
          <t>OSBY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36059-2026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46267</v>
      </c>
      <c r="E351" s="1" t="n">
        <v>46321</v>
      </c>
      <c r="F351" t="inlineStr">
        <is>
          <t>SKÅNE LÄN</t>
        </is>
      </c>
      <c r="G351" t="inlineStr">
        <is>
          <t>OSBY</t>
        </is>
      </c>
      <c r="I351" t="n">
        <v>1.7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9840-2022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44620</v>
      </c>
      <c r="E352" s="1" t="n">
        <v>46321</v>
      </c>
      <c r="F352" t="inlineStr">
        <is>
          <t>SKÅNE LÄN</t>
        </is>
      </c>
      <c r="G352" t="inlineStr">
        <is>
          <t>OSBY</t>
        </is>
      </c>
      <c r="H352" t="inlineStr">
        <is>
          <t>Kommuner</t>
        </is>
      </c>
      <c r="I352" t="n">
        <v>5.9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36342-2026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46268</v>
      </c>
      <c r="E353" s="1" t="n">
        <v>46321</v>
      </c>
      <c r="F353" t="inlineStr">
        <is>
          <t>SKÅNE LÄN</t>
        </is>
      </c>
      <c r="G353" t="inlineStr">
        <is>
          <t>OSBY</t>
        </is>
      </c>
      <c r="I353" t="n">
        <v>2.8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36344-2026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46268</v>
      </c>
      <c r="E354" s="1" t="n">
        <v>46321</v>
      </c>
      <c r="F354" t="inlineStr">
        <is>
          <t>SKÅNE LÄN</t>
        </is>
      </c>
      <c r="G354" t="inlineStr">
        <is>
          <t>OSBY</t>
        </is>
      </c>
      <c r="I354" t="n">
        <v>1.6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54187-2022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44881</v>
      </c>
      <c r="E355" s="1" t="n">
        <v>46321</v>
      </c>
      <c r="F355" t="inlineStr">
        <is>
          <t>SKÅNE LÄN</t>
        </is>
      </c>
      <c r="G355" t="inlineStr">
        <is>
          <t>OSBY</t>
        </is>
      </c>
      <c r="I355" t="n">
        <v>1.9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43451-2026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46314</v>
      </c>
      <c r="E356" s="1" t="n">
        <v>46321</v>
      </c>
      <c r="F356" t="inlineStr">
        <is>
          <t>SKÅNE LÄN</t>
        </is>
      </c>
      <c r="G356" t="inlineStr">
        <is>
          <t>OSBY</t>
        </is>
      </c>
      <c r="I356" t="n">
        <v>2.4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36979-2024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45539</v>
      </c>
      <c r="E357" s="1" t="n">
        <v>46321</v>
      </c>
      <c r="F357" t="inlineStr">
        <is>
          <t>SKÅNE LÄN</t>
        </is>
      </c>
      <c r="G357" t="inlineStr">
        <is>
          <t>OSBY</t>
        </is>
      </c>
      <c r="I357" t="n">
        <v>5.4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35705-2026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46265</v>
      </c>
      <c r="E358" s="1" t="n">
        <v>46321</v>
      </c>
      <c r="F358" t="inlineStr">
        <is>
          <t>SKÅNE LÄN</t>
        </is>
      </c>
      <c r="G358" t="inlineStr">
        <is>
          <t>OSBY</t>
        </is>
      </c>
      <c r="H358" t="inlineStr">
        <is>
          <t>Sveaskog</t>
        </is>
      </c>
      <c r="I358" t="n">
        <v>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36952-2023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45154</v>
      </c>
      <c r="E359" s="1" t="n">
        <v>46321</v>
      </c>
      <c r="F359" t="inlineStr">
        <is>
          <t>SKÅNE LÄN</t>
        </is>
      </c>
      <c r="G359" t="inlineStr">
        <is>
          <t>OSBY</t>
        </is>
      </c>
      <c r="I359" t="n">
        <v>1.1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43947-2024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45572</v>
      </c>
      <c r="E360" s="1" t="n">
        <v>46321</v>
      </c>
      <c r="F360" t="inlineStr">
        <is>
          <t>SKÅNE LÄN</t>
        </is>
      </c>
      <c r="G360" t="inlineStr">
        <is>
          <t>OSBY</t>
        </is>
      </c>
      <c r="I360" t="n">
        <v>1.6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36349-2026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46268</v>
      </c>
      <c r="E361" s="1" t="n">
        <v>46321</v>
      </c>
      <c r="F361" t="inlineStr">
        <is>
          <t>SKÅNE LÄN</t>
        </is>
      </c>
      <c r="G361" t="inlineStr">
        <is>
          <t>OSBY</t>
        </is>
      </c>
      <c r="I361" t="n">
        <v>0.7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43450-2026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46314</v>
      </c>
      <c r="E362" s="1" t="n">
        <v>46321</v>
      </c>
      <c r="F362" t="inlineStr">
        <is>
          <t>SKÅNE LÄN</t>
        </is>
      </c>
      <c r="G362" t="inlineStr">
        <is>
          <t>OSBY</t>
        </is>
      </c>
      <c r="I362" t="n">
        <v>2.1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43437-2026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46310</v>
      </c>
      <c r="E363" s="1" t="n">
        <v>46321</v>
      </c>
      <c r="F363" t="inlineStr">
        <is>
          <t>SKÅNE LÄN</t>
        </is>
      </c>
      <c r="G363" t="inlineStr">
        <is>
          <t>OSBY</t>
        </is>
      </c>
      <c r="H363" t="inlineStr">
        <is>
          <t>Kyrkan</t>
        </is>
      </c>
      <c r="I363" t="n">
        <v>3.4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45191-2024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45575</v>
      </c>
      <c r="E364" s="1" t="n">
        <v>46321</v>
      </c>
      <c r="F364" t="inlineStr">
        <is>
          <t>SKÅNE LÄN</t>
        </is>
      </c>
      <c r="G364" t="inlineStr">
        <is>
          <t>OSBY</t>
        </is>
      </c>
      <c r="I364" t="n">
        <v>6.4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48774-2025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45936</v>
      </c>
      <c r="E365" s="1" t="n">
        <v>46321</v>
      </c>
      <c r="F365" t="inlineStr">
        <is>
          <t>SKÅNE LÄN</t>
        </is>
      </c>
      <c r="G365" t="inlineStr">
        <is>
          <t>OSBY</t>
        </is>
      </c>
      <c r="I365" t="n">
        <v>3.8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10775-2024</t>
        </is>
      </c>
      <c r="B366" t="inlineStr">
        <is>
          <t>avverkningsanmälan</t>
        </is>
      </c>
      <c r="C366" t="inlineStr">
        <is>
          <t>Avverkning för annat ändamål</t>
        </is>
      </c>
      <c r="D366" s="1" t="n">
        <v>45369</v>
      </c>
      <c r="E366" s="1" t="n">
        <v>46321</v>
      </c>
      <c r="F366" t="inlineStr">
        <is>
          <t>SKÅNE LÄN</t>
        </is>
      </c>
      <c r="G366" t="inlineStr">
        <is>
          <t>OSBY</t>
        </is>
      </c>
      <c r="I366" t="n">
        <v>0.6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46432-2023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45197</v>
      </c>
      <c r="E367" s="1" t="n">
        <v>46321</v>
      </c>
      <c r="F367" t="inlineStr">
        <is>
          <t>SKÅNE LÄN</t>
        </is>
      </c>
      <c r="G367" t="inlineStr">
        <is>
          <t>OSBY</t>
        </is>
      </c>
      <c r="I367" t="n">
        <v>1.4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1222-2023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44935</v>
      </c>
      <c r="E368" s="1" t="n">
        <v>46321</v>
      </c>
      <c r="F368" t="inlineStr">
        <is>
          <t>SKÅNE LÄN</t>
        </is>
      </c>
      <c r="G368" t="inlineStr">
        <is>
          <t>OSBY</t>
        </is>
      </c>
      <c r="I368" t="n">
        <v>1.4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10714-2025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45722</v>
      </c>
      <c r="E369" s="1" t="n">
        <v>46321</v>
      </c>
      <c r="F369" t="inlineStr">
        <is>
          <t>SKÅNE LÄN</t>
        </is>
      </c>
      <c r="G369" t="inlineStr">
        <is>
          <t>OSBY</t>
        </is>
      </c>
      <c r="I369" t="n">
        <v>3.8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37501-2026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46275</v>
      </c>
      <c r="E370" s="1" t="n">
        <v>46321</v>
      </c>
      <c r="F370" t="inlineStr">
        <is>
          <t>SKÅNE LÄN</t>
        </is>
      </c>
      <c r="G370" t="inlineStr">
        <is>
          <t>OSBY</t>
        </is>
      </c>
      <c r="H370" t="inlineStr">
        <is>
          <t>Sveaskog</t>
        </is>
      </c>
      <c r="I370" t="n">
        <v>0.8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7079-2023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44965</v>
      </c>
      <c r="E371" s="1" t="n">
        <v>46321</v>
      </c>
      <c r="F371" t="inlineStr">
        <is>
          <t>SKÅNE LÄN</t>
        </is>
      </c>
      <c r="G371" t="inlineStr">
        <is>
          <t>OSBY</t>
        </is>
      </c>
      <c r="I371" t="n">
        <v>1.8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37623-2026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46276</v>
      </c>
      <c r="E372" s="1" t="n">
        <v>46321</v>
      </c>
      <c r="F372" t="inlineStr">
        <is>
          <t>SKÅNE LÄN</t>
        </is>
      </c>
      <c r="G372" t="inlineStr">
        <is>
          <t>OSBY</t>
        </is>
      </c>
      <c r="H372" t="inlineStr">
        <is>
          <t>Sveaskog</t>
        </is>
      </c>
      <c r="I372" t="n">
        <v>2.2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67613-2021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44524</v>
      </c>
      <c r="E373" s="1" t="n">
        <v>46321</v>
      </c>
      <c r="F373" t="inlineStr">
        <is>
          <t>SKÅNE LÄN</t>
        </is>
      </c>
      <c r="G373" t="inlineStr">
        <is>
          <t>OSBY</t>
        </is>
      </c>
      <c r="I373" t="n">
        <v>1.8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67616-2021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44524</v>
      </c>
      <c r="E374" s="1" t="n">
        <v>46321</v>
      </c>
      <c r="F374" t="inlineStr">
        <is>
          <t>SKÅNE LÄN</t>
        </is>
      </c>
      <c r="G374" t="inlineStr">
        <is>
          <t>OSBY</t>
        </is>
      </c>
      <c r="I374" t="n">
        <v>2.6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37625-2026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46276</v>
      </c>
      <c r="E375" s="1" t="n">
        <v>46321</v>
      </c>
      <c r="F375" t="inlineStr">
        <is>
          <t>SKÅNE LÄN</t>
        </is>
      </c>
      <c r="G375" t="inlineStr">
        <is>
          <t>OSBY</t>
        </is>
      </c>
      <c r="H375" t="inlineStr">
        <is>
          <t>Sveaskog</t>
        </is>
      </c>
      <c r="I375" t="n">
        <v>2.2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59252-2022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44904</v>
      </c>
      <c r="E376" s="1" t="n">
        <v>46321</v>
      </c>
      <c r="F376" t="inlineStr">
        <is>
          <t>SKÅNE LÄN</t>
        </is>
      </c>
      <c r="G376" t="inlineStr">
        <is>
          <t>OSBY</t>
        </is>
      </c>
      <c r="I376" t="n">
        <v>1.1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22638-2023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45071</v>
      </c>
      <c r="E377" s="1" t="n">
        <v>46321</v>
      </c>
      <c r="F377" t="inlineStr">
        <is>
          <t>SKÅNE LÄN</t>
        </is>
      </c>
      <c r="G377" t="inlineStr">
        <is>
          <t>OSBY</t>
        </is>
      </c>
      <c r="I377" t="n">
        <v>1.6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26946-2022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44740</v>
      </c>
      <c r="E378" s="1" t="n">
        <v>46321</v>
      </c>
      <c r="F378" t="inlineStr">
        <is>
          <t>SKÅNE LÄN</t>
        </is>
      </c>
      <c r="G378" t="inlineStr">
        <is>
          <t>OSBY</t>
        </is>
      </c>
      <c r="I378" t="n">
        <v>0.5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13596-2024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45390</v>
      </c>
      <c r="E379" s="1" t="n">
        <v>46321</v>
      </c>
      <c r="F379" t="inlineStr">
        <is>
          <t>SKÅNE LÄN</t>
        </is>
      </c>
      <c r="G379" t="inlineStr">
        <is>
          <t>OSBY</t>
        </is>
      </c>
      <c r="H379" t="inlineStr">
        <is>
          <t>Sveaskog</t>
        </is>
      </c>
      <c r="I379" t="n">
        <v>0.6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13597-2024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45390</v>
      </c>
      <c r="E380" s="1" t="n">
        <v>46321</v>
      </c>
      <c r="F380" t="inlineStr">
        <is>
          <t>SKÅNE LÄN</t>
        </is>
      </c>
      <c r="G380" t="inlineStr">
        <is>
          <t>OSBY</t>
        </is>
      </c>
      <c r="H380" t="inlineStr">
        <is>
          <t>Sveaskog</t>
        </is>
      </c>
      <c r="I380" t="n">
        <v>2.8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8367-2022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44610</v>
      </c>
      <c r="E381" s="1" t="n">
        <v>46321</v>
      </c>
      <c r="F381" t="inlineStr">
        <is>
          <t>SKÅNE LÄN</t>
        </is>
      </c>
      <c r="G381" t="inlineStr">
        <is>
          <t>OSBY</t>
        </is>
      </c>
      <c r="I381" t="n">
        <v>0.5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43338-2024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45568</v>
      </c>
      <c r="E382" s="1" t="n">
        <v>46321</v>
      </c>
      <c r="F382" t="inlineStr">
        <is>
          <t>SKÅNE LÄN</t>
        </is>
      </c>
      <c r="G382" t="inlineStr">
        <is>
          <t>OSBY</t>
        </is>
      </c>
      <c r="I382" t="n">
        <v>1.2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10060-2024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45364</v>
      </c>
      <c r="E383" s="1" t="n">
        <v>46321</v>
      </c>
      <c r="F383" t="inlineStr">
        <is>
          <t>SKÅNE LÄN</t>
        </is>
      </c>
      <c r="G383" t="inlineStr">
        <is>
          <t>OSBY</t>
        </is>
      </c>
      <c r="I383" t="n">
        <v>1.4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47879-2024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45588</v>
      </c>
      <c r="E384" s="1" t="n">
        <v>46321</v>
      </c>
      <c r="F384" t="inlineStr">
        <is>
          <t>SKÅNE LÄN</t>
        </is>
      </c>
      <c r="G384" t="inlineStr">
        <is>
          <t>OSBY</t>
        </is>
      </c>
      <c r="I384" t="n">
        <v>3.8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53773-2023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45231</v>
      </c>
      <c r="E385" s="1" t="n">
        <v>46321</v>
      </c>
      <c r="F385" t="inlineStr">
        <is>
          <t>SKÅNE LÄN</t>
        </is>
      </c>
      <c r="G385" t="inlineStr">
        <is>
          <t>OSBY</t>
        </is>
      </c>
      <c r="I385" t="n">
        <v>0.5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53894-2025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45961</v>
      </c>
      <c r="E386" s="1" t="n">
        <v>46321</v>
      </c>
      <c r="F386" t="inlineStr">
        <is>
          <t>SKÅNE LÄN</t>
        </is>
      </c>
      <c r="G386" t="inlineStr">
        <is>
          <t>OSBY</t>
        </is>
      </c>
      <c r="I386" t="n">
        <v>1.6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21763-2026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46150</v>
      </c>
      <c r="E387" s="1" t="n">
        <v>46321</v>
      </c>
      <c r="F387" t="inlineStr">
        <is>
          <t>SKÅNE LÄN</t>
        </is>
      </c>
      <c r="G387" t="inlineStr">
        <is>
          <t>OSBY</t>
        </is>
      </c>
      <c r="H387" t="inlineStr">
        <is>
          <t>Sveaskog</t>
        </is>
      </c>
      <c r="I387" t="n">
        <v>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34303-2024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45524</v>
      </c>
      <c r="E388" s="1" t="n">
        <v>46321</v>
      </c>
      <c r="F388" t="inlineStr">
        <is>
          <t>SKÅNE LÄN</t>
        </is>
      </c>
      <c r="G388" t="inlineStr">
        <is>
          <t>OSBY</t>
        </is>
      </c>
      <c r="I388" t="n">
        <v>0.5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15568-2022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44662</v>
      </c>
      <c r="E389" s="1" t="n">
        <v>46321</v>
      </c>
      <c r="F389" t="inlineStr">
        <is>
          <t>SKÅNE LÄN</t>
        </is>
      </c>
      <c r="G389" t="inlineStr">
        <is>
          <t>OSBY</t>
        </is>
      </c>
      <c r="I389" t="n">
        <v>2.2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17715-2023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45037</v>
      </c>
      <c r="E390" s="1" t="n">
        <v>46321</v>
      </c>
      <c r="F390" t="inlineStr">
        <is>
          <t>SKÅNE LÄN</t>
        </is>
      </c>
      <c r="G390" t="inlineStr">
        <is>
          <t>OSBY</t>
        </is>
      </c>
      <c r="I390" t="n">
        <v>1.9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17537-2022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44679</v>
      </c>
      <c r="E391" s="1" t="n">
        <v>46321</v>
      </c>
      <c r="F391" t="inlineStr">
        <is>
          <t>SKÅNE LÄN</t>
        </is>
      </c>
      <c r="G391" t="inlineStr">
        <is>
          <t>OSBY</t>
        </is>
      </c>
      <c r="I391" t="n">
        <v>2.5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21991-2026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46153</v>
      </c>
      <c r="E392" s="1" t="n">
        <v>46321</v>
      </c>
      <c r="F392" t="inlineStr">
        <is>
          <t>SKÅNE LÄN</t>
        </is>
      </c>
      <c r="G392" t="inlineStr">
        <is>
          <t>OSBY</t>
        </is>
      </c>
      <c r="H392" t="inlineStr">
        <is>
          <t>Kyrkan</t>
        </is>
      </c>
      <c r="I392" t="n">
        <v>1.8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22043-2026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46153</v>
      </c>
      <c r="E393" s="1" t="n">
        <v>46321</v>
      </c>
      <c r="F393" t="inlineStr">
        <is>
          <t>SKÅNE LÄN</t>
        </is>
      </c>
      <c r="G393" t="inlineStr">
        <is>
          <t>OSBY</t>
        </is>
      </c>
      <c r="H393" t="inlineStr">
        <is>
          <t>Sveaskog</t>
        </is>
      </c>
      <c r="I393" t="n">
        <v>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22231-2026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46153</v>
      </c>
      <c r="E394" s="1" t="n">
        <v>46321</v>
      </c>
      <c r="F394" t="inlineStr">
        <is>
          <t>SKÅNE LÄN</t>
        </is>
      </c>
      <c r="G394" t="inlineStr">
        <is>
          <t>OSBY</t>
        </is>
      </c>
      <c r="I394" t="n">
        <v>1.4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21992-2026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46153</v>
      </c>
      <c r="E395" s="1" t="n">
        <v>46321</v>
      </c>
      <c r="F395" t="inlineStr">
        <is>
          <t>SKÅNE LÄN</t>
        </is>
      </c>
      <c r="G395" t="inlineStr">
        <is>
          <t>OSBY</t>
        </is>
      </c>
      <c r="H395" t="inlineStr">
        <is>
          <t>Kyrkan</t>
        </is>
      </c>
      <c r="I395" t="n">
        <v>2.9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25579-2024</t>
        </is>
      </c>
      <c r="B396" t="inlineStr">
        <is>
          <t>avverkningsanmälan</t>
        </is>
      </c>
      <c r="C396" t="inlineStr">
        <is>
          <t>Avverkning för annat ändamål</t>
        </is>
      </c>
      <c r="D396" s="1" t="n">
        <v>45463</v>
      </c>
      <c r="E396" s="1" t="n">
        <v>46321</v>
      </c>
      <c r="F396" t="inlineStr">
        <is>
          <t>SKÅNE LÄN</t>
        </is>
      </c>
      <c r="G396" t="inlineStr">
        <is>
          <t>OSBY</t>
        </is>
      </c>
      <c r="I396" t="n">
        <v>1.3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22061-2026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46153</v>
      </c>
      <c r="E397" s="1" t="n">
        <v>46321</v>
      </c>
      <c r="F397" t="inlineStr">
        <is>
          <t>SKÅNE LÄN</t>
        </is>
      </c>
      <c r="G397" t="inlineStr">
        <is>
          <t>OSBY</t>
        </is>
      </c>
      <c r="H397" t="inlineStr">
        <is>
          <t>Sveaskog</t>
        </is>
      </c>
      <c r="I397" t="n">
        <v>1.7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22071-2026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46153</v>
      </c>
      <c r="E398" s="1" t="n">
        <v>46321</v>
      </c>
      <c r="F398" t="inlineStr">
        <is>
          <t>SKÅNE LÄN</t>
        </is>
      </c>
      <c r="G398" t="inlineStr">
        <is>
          <t>OSBY</t>
        </is>
      </c>
      <c r="H398" t="inlineStr">
        <is>
          <t>Sveaskog</t>
        </is>
      </c>
      <c r="I398" t="n">
        <v>5.7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22578-2026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46155</v>
      </c>
      <c r="E399" s="1" t="n">
        <v>46321</v>
      </c>
      <c r="F399" t="inlineStr">
        <is>
          <t>SKÅNE LÄN</t>
        </is>
      </c>
      <c r="G399" t="inlineStr">
        <is>
          <t>OSBY</t>
        </is>
      </c>
      <c r="I399" t="n">
        <v>0.7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43930-2025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45915</v>
      </c>
      <c r="E400" s="1" t="n">
        <v>46321</v>
      </c>
      <c r="F400" t="inlineStr">
        <is>
          <t>SKÅNE LÄN</t>
        </is>
      </c>
      <c r="G400" t="inlineStr">
        <is>
          <t>OSBY</t>
        </is>
      </c>
      <c r="I400" t="n">
        <v>0.9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22670-2026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46155</v>
      </c>
      <c r="E401" s="1" t="n">
        <v>46321</v>
      </c>
      <c r="F401" t="inlineStr">
        <is>
          <t>SKÅNE LÄN</t>
        </is>
      </c>
      <c r="G401" t="inlineStr">
        <is>
          <t>OSBY</t>
        </is>
      </c>
      <c r="I401" t="n">
        <v>1.4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10711-2024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45369</v>
      </c>
      <c r="E402" s="1" t="n">
        <v>46321</v>
      </c>
      <c r="F402" t="inlineStr">
        <is>
          <t>SKÅNE LÄN</t>
        </is>
      </c>
      <c r="G402" t="inlineStr">
        <is>
          <t>OSBY</t>
        </is>
      </c>
      <c r="I402" t="n">
        <v>0.7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17675-2023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45035</v>
      </c>
      <c r="E403" s="1" t="n">
        <v>46321</v>
      </c>
      <c r="F403" t="inlineStr">
        <is>
          <t>SKÅNE LÄN</t>
        </is>
      </c>
      <c r="G403" t="inlineStr">
        <is>
          <t>OSBY</t>
        </is>
      </c>
      <c r="I403" t="n">
        <v>1.9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58747-2024</t>
        </is>
      </c>
      <c r="B404" t="inlineStr">
        <is>
          <t>avverkningsanmälan</t>
        </is>
      </c>
      <c r="C404" t="inlineStr">
        <is>
          <t>Avverkning för att bevara och utveckla /försöksver</t>
        </is>
      </c>
      <c r="D404" s="1" t="n">
        <v>45635</v>
      </c>
      <c r="E404" s="1" t="n">
        <v>46321</v>
      </c>
      <c r="F404" t="inlineStr">
        <is>
          <t>SKÅNE LÄN</t>
        </is>
      </c>
      <c r="G404" t="inlineStr">
        <is>
          <t>OSBY</t>
        </is>
      </c>
      <c r="I404" t="n">
        <v>1.5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6755-2022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44602</v>
      </c>
      <c r="E405" s="1" t="n">
        <v>46321</v>
      </c>
      <c r="F405" t="inlineStr">
        <is>
          <t>SKÅNE LÄN</t>
        </is>
      </c>
      <c r="G405" t="inlineStr">
        <is>
          <t>OSBY</t>
        </is>
      </c>
      <c r="I405" t="n">
        <v>0.5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51861-2024</t>
        </is>
      </c>
      <c r="B406" t="inlineStr">
        <is>
          <t>avverkningsanmälan</t>
        </is>
      </c>
      <c r="C406" t="inlineStr">
        <is>
          <t>Avverkning för att bevara och utveckla /försöksver</t>
        </is>
      </c>
      <c r="D406" s="1" t="n">
        <v>45607</v>
      </c>
      <c r="E406" s="1" t="n">
        <v>46321</v>
      </c>
      <c r="F406" t="inlineStr">
        <is>
          <t>SKÅNE LÄN</t>
        </is>
      </c>
      <c r="G406" t="inlineStr">
        <is>
          <t>OSBY</t>
        </is>
      </c>
      <c r="H406" t="inlineStr">
        <is>
          <t>Sveaskog</t>
        </is>
      </c>
      <c r="I406" t="n">
        <v>0.9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29433-2024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45483</v>
      </c>
      <c r="E407" s="1" t="n">
        <v>46321</v>
      </c>
      <c r="F407" t="inlineStr">
        <is>
          <t>SKÅNE LÄN</t>
        </is>
      </c>
      <c r="G407" t="inlineStr">
        <is>
          <t>OSBY</t>
        </is>
      </c>
      <c r="H407" t="inlineStr">
        <is>
          <t>Kommuner</t>
        </is>
      </c>
      <c r="I407" t="n">
        <v>2.2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12068-2023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44997</v>
      </c>
      <c r="E408" s="1" t="n">
        <v>46321</v>
      </c>
      <c r="F408" t="inlineStr">
        <is>
          <t>SKÅNE LÄN</t>
        </is>
      </c>
      <c r="G408" t="inlineStr">
        <is>
          <t>OSBY</t>
        </is>
      </c>
      <c r="I408" t="n">
        <v>0.6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26043-2024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45468</v>
      </c>
      <c r="E409" s="1" t="n">
        <v>46321</v>
      </c>
      <c r="F409" t="inlineStr">
        <is>
          <t>SKÅNE LÄN</t>
        </is>
      </c>
      <c r="G409" t="inlineStr">
        <is>
          <t>OSBY</t>
        </is>
      </c>
      <c r="I409" t="n">
        <v>0.6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59966-2024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45642</v>
      </c>
      <c r="E410" s="1" t="n">
        <v>46321</v>
      </c>
      <c r="F410" t="inlineStr">
        <is>
          <t>SKÅNE LÄN</t>
        </is>
      </c>
      <c r="G410" t="inlineStr">
        <is>
          <t>OSBY</t>
        </is>
      </c>
      <c r="I410" t="n">
        <v>1.8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35777-2022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44801</v>
      </c>
      <c r="E411" s="1" t="n">
        <v>46321</v>
      </c>
      <c r="F411" t="inlineStr">
        <is>
          <t>SKÅNE LÄN</t>
        </is>
      </c>
      <c r="G411" t="inlineStr">
        <is>
          <t>OSBY</t>
        </is>
      </c>
      <c r="I411" t="n">
        <v>1.7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60031-2024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45642</v>
      </c>
      <c r="E412" s="1" t="n">
        <v>46321</v>
      </c>
      <c r="F412" t="inlineStr">
        <is>
          <t>SKÅNE LÄN</t>
        </is>
      </c>
      <c r="G412" t="inlineStr">
        <is>
          <t>OSBY</t>
        </is>
      </c>
      <c r="I412" t="n">
        <v>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15041-2023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45015</v>
      </c>
      <c r="E413" s="1" t="n">
        <v>46321</v>
      </c>
      <c r="F413" t="inlineStr">
        <is>
          <t>SKÅNE LÄN</t>
        </is>
      </c>
      <c r="G413" t="inlineStr">
        <is>
          <t>OSBY</t>
        </is>
      </c>
      <c r="I413" t="n">
        <v>0.5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26158-2023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45091</v>
      </c>
      <c r="E414" s="1" t="n">
        <v>46321</v>
      </c>
      <c r="F414" t="inlineStr">
        <is>
          <t>SKÅNE LÄN</t>
        </is>
      </c>
      <c r="G414" t="inlineStr">
        <is>
          <t>OSBY</t>
        </is>
      </c>
      <c r="I414" t="n">
        <v>7.4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61414-2024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45646</v>
      </c>
      <c r="E415" s="1" t="n">
        <v>46321</v>
      </c>
      <c r="F415" t="inlineStr">
        <is>
          <t>SKÅNE LÄN</t>
        </is>
      </c>
      <c r="G415" t="inlineStr">
        <is>
          <t>OSBY</t>
        </is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30213-2022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44757</v>
      </c>
      <c r="E416" s="1" t="n">
        <v>46321</v>
      </c>
      <c r="F416" t="inlineStr">
        <is>
          <t>SKÅNE LÄN</t>
        </is>
      </c>
      <c r="G416" t="inlineStr">
        <is>
          <t>OSBY</t>
        </is>
      </c>
      <c r="I416" t="n">
        <v>1.6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51632-2024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45605</v>
      </c>
      <c r="E417" s="1" t="n">
        <v>46321</v>
      </c>
      <c r="F417" t="inlineStr">
        <is>
          <t>SKÅNE LÄN</t>
        </is>
      </c>
      <c r="G417" t="inlineStr">
        <is>
          <t>OSBY</t>
        </is>
      </c>
      <c r="I417" t="n">
        <v>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51633-2024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45605</v>
      </c>
      <c r="E418" s="1" t="n">
        <v>46321</v>
      </c>
      <c r="F418" t="inlineStr">
        <is>
          <t>SKÅNE LÄN</t>
        </is>
      </c>
      <c r="G418" t="inlineStr">
        <is>
          <t>OSBY</t>
        </is>
      </c>
      <c r="I418" t="n">
        <v>2.1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1107-2025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45666</v>
      </c>
      <c r="E419" s="1" t="n">
        <v>46321</v>
      </c>
      <c r="F419" t="inlineStr">
        <is>
          <t>SKÅNE LÄN</t>
        </is>
      </c>
      <c r="G419" t="inlineStr">
        <is>
          <t>OSBY</t>
        </is>
      </c>
      <c r="I419" t="n">
        <v>0.9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57839-2024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45630</v>
      </c>
      <c r="E420" s="1" t="n">
        <v>46321</v>
      </c>
      <c r="F420" t="inlineStr">
        <is>
          <t>SKÅNE LÄN</t>
        </is>
      </c>
      <c r="G420" t="inlineStr">
        <is>
          <t>OSBY</t>
        </is>
      </c>
      <c r="I420" t="n">
        <v>1.8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63077-2021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44505</v>
      </c>
      <c r="E421" s="1" t="n">
        <v>46321</v>
      </c>
      <c r="F421" t="inlineStr">
        <is>
          <t>SKÅNE LÄN</t>
        </is>
      </c>
      <c r="G421" t="inlineStr">
        <is>
          <t>OSBY</t>
        </is>
      </c>
      <c r="I421" t="n">
        <v>2.1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61979-2024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45646</v>
      </c>
      <c r="E422" s="1" t="n">
        <v>46321</v>
      </c>
      <c r="F422" t="inlineStr">
        <is>
          <t>SKÅNE LÄN</t>
        </is>
      </c>
      <c r="G422" t="inlineStr">
        <is>
          <t>OSBY</t>
        </is>
      </c>
      <c r="H422" t="inlineStr">
        <is>
          <t>Kyrkan</t>
        </is>
      </c>
      <c r="I422" t="n">
        <v>11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12600-2025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45733</v>
      </c>
      <c r="E423" s="1" t="n">
        <v>46321</v>
      </c>
      <c r="F423" t="inlineStr">
        <is>
          <t>SKÅNE LÄN</t>
        </is>
      </c>
      <c r="G423" t="inlineStr">
        <is>
          <t>OSBY</t>
        </is>
      </c>
      <c r="H423" t="inlineStr">
        <is>
          <t>Sveaskog</t>
        </is>
      </c>
      <c r="I423" t="n">
        <v>0.4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4833-2025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45688</v>
      </c>
      <c r="E424" s="1" t="n">
        <v>46321</v>
      </c>
      <c r="F424" t="inlineStr">
        <is>
          <t>SKÅNE LÄN</t>
        </is>
      </c>
      <c r="G424" t="inlineStr">
        <is>
          <t>OSBY</t>
        </is>
      </c>
      <c r="I424" t="n">
        <v>1.6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9190-2025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45714</v>
      </c>
      <c r="E425" s="1" t="n">
        <v>46321</v>
      </c>
      <c r="F425" t="inlineStr">
        <is>
          <t>SKÅNE LÄN</t>
        </is>
      </c>
      <c r="G425" t="inlineStr">
        <is>
          <t>OSBY</t>
        </is>
      </c>
      <c r="H425" t="inlineStr">
        <is>
          <t>Kommuner</t>
        </is>
      </c>
      <c r="I425" t="n">
        <v>0.7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2911-2025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45677</v>
      </c>
      <c r="E426" s="1" t="n">
        <v>46321</v>
      </c>
      <c r="F426" t="inlineStr">
        <is>
          <t>SKÅNE LÄN</t>
        </is>
      </c>
      <c r="G426" t="inlineStr">
        <is>
          <t>OSBY</t>
        </is>
      </c>
      <c r="I426" t="n">
        <v>0.5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42751-2022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44832</v>
      </c>
      <c r="E427" s="1" t="n">
        <v>46321</v>
      </c>
      <c r="F427" t="inlineStr">
        <is>
          <t>SKÅNE LÄN</t>
        </is>
      </c>
      <c r="G427" t="inlineStr">
        <is>
          <t>OSBY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4231-2025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45685</v>
      </c>
      <c r="E428" s="1" t="n">
        <v>46321</v>
      </c>
      <c r="F428" t="inlineStr">
        <is>
          <t>SKÅNE LÄN</t>
        </is>
      </c>
      <c r="G428" t="inlineStr">
        <is>
          <t>OSBY</t>
        </is>
      </c>
      <c r="H428" t="inlineStr">
        <is>
          <t>Sveaskog</t>
        </is>
      </c>
      <c r="I428" t="n">
        <v>1.1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13754-2025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45737</v>
      </c>
      <c r="E429" s="1" t="n">
        <v>46321</v>
      </c>
      <c r="F429" t="inlineStr">
        <is>
          <t>SKÅNE LÄN</t>
        </is>
      </c>
      <c r="G429" t="inlineStr">
        <is>
          <t>OSBY</t>
        </is>
      </c>
      <c r="H429" t="inlineStr">
        <is>
          <t>Sveaskog</t>
        </is>
      </c>
      <c r="I429" t="n">
        <v>6.4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28240-2022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44746</v>
      </c>
      <c r="E430" s="1" t="n">
        <v>46321</v>
      </c>
      <c r="F430" t="inlineStr">
        <is>
          <t>SKÅNE LÄN</t>
        </is>
      </c>
      <c r="G430" t="inlineStr">
        <is>
          <t>OSBY</t>
        </is>
      </c>
      <c r="I430" t="n">
        <v>2.3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4209-2025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45685</v>
      </c>
      <c r="E431" s="1" t="n">
        <v>46321</v>
      </c>
      <c r="F431" t="inlineStr">
        <is>
          <t>SKÅNE LÄN</t>
        </is>
      </c>
      <c r="G431" t="inlineStr">
        <is>
          <t>OSBY</t>
        </is>
      </c>
      <c r="I431" t="n">
        <v>7.8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12248-2024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45377</v>
      </c>
      <c r="E432" s="1" t="n">
        <v>46321</v>
      </c>
      <c r="F432" t="inlineStr">
        <is>
          <t>SKÅNE LÄN</t>
        </is>
      </c>
      <c r="G432" t="inlineStr">
        <is>
          <t>OSBY</t>
        </is>
      </c>
      <c r="H432" t="inlineStr">
        <is>
          <t>Kommuner</t>
        </is>
      </c>
      <c r="I432" t="n">
        <v>7.3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12413-2025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45730</v>
      </c>
      <c r="E433" s="1" t="n">
        <v>46321</v>
      </c>
      <c r="F433" t="inlineStr">
        <is>
          <t>SKÅNE LÄN</t>
        </is>
      </c>
      <c r="G433" t="inlineStr">
        <is>
          <t>OSBY</t>
        </is>
      </c>
      <c r="I433" t="n">
        <v>0.5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31195-2024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45503</v>
      </c>
      <c r="E434" s="1" t="n">
        <v>46321</v>
      </c>
      <c r="F434" t="inlineStr">
        <is>
          <t>SKÅNE LÄN</t>
        </is>
      </c>
      <c r="G434" t="inlineStr">
        <is>
          <t>OSBY</t>
        </is>
      </c>
      <c r="I434" t="n">
        <v>1.4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59679-2023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45255</v>
      </c>
      <c r="E435" s="1" t="n">
        <v>46321</v>
      </c>
      <c r="F435" t="inlineStr">
        <is>
          <t>SKÅNE LÄN</t>
        </is>
      </c>
      <c r="G435" t="inlineStr">
        <is>
          <t>OSBY</t>
        </is>
      </c>
      <c r="I435" t="n">
        <v>15.6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11908-2025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45728</v>
      </c>
      <c r="E436" s="1" t="n">
        <v>46321</v>
      </c>
      <c r="F436" t="inlineStr">
        <is>
          <t>SKÅNE LÄN</t>
        </is>
      </c>
      <c r="G436" t="inlineStr">
        <is>
          <t>OSBY</t>
        </is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36569-2024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45537</v>
      </c>
      <c r="E437" s="1" t="n">
        <v>46321</v>
      </c>
      <c r="F437" t="inlineStr">
        <is>
          <t>SKÅNE LÄN</t>
        </is>
      </c>
      <c r="G437" t="inlineStr">
        <is>
          <t>OSBY</t>
        </is>
      </c>
      <c r="I437" t="n">
        <v>1.1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8500-2025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45709</v>
      </c>
      <c r="E438" s="1" t="n">
        <v>46321</v>
      </c>
      <c r="F438" t="inlineStr">
        <is>
          <t>SKÅNE LÄN</t>
        </is>
      </c>
      <c r="G438" t="inlineStr">
        <is>
          <t>OSBY</t>
        </is>
      </c>
      <c r="H438" t="inlineStr">
        <is>
          <t>Kommuner</t>
        </is>
      </c>
      <c r="I438" t="n">
        <v>1.7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11780-2023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44994</v>
      </c>
      <c r="E439" s="1" t="n">
        <v>46321</v>
      </c>
      <c r="F439" t="inlineStr">
        <is>
          <t>SKÅNE LÄN</t>
        </is>
      </c>
      <c r="G439" t="inlineStr">
        <is>
          <t>OSBY</t>
        </is>
      </c>
      <c r="I439" t="n">
        <v>0.7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14495-2023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45012</v>
      </c>
      <c r="E440" s="1" t="n">
        <v>46321</v>
      </c>
      <c r="F440" t="inlineStr">
        <is>
          <t>SKÅNE LÄN</t>
        </is>
      </c>
      <c r="G440" t="inlineStr">
        <is>
          <t>OSBY</t>
        </is>
      </c>
      <c r="I440" t="n">
        <v>1.3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61364-2023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45264</v>
      </c>
      <c r="E441" s="1" t="n">
        <v>46321</v>
      </c>
      <c r="F441" t="inlineStr">
        <is>
          <t>SKÅNE LÄN</t>
        </is>
      </c>
      <c r="G441" t="inlineStr">
        <is>
          <t>OSBY</t>
        </is>
      </c>
      <c r="I441" t="n">
        <v>0.7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43931-2022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44838</v>
      </c>
      <c r="E442" s="1" t="n">
        <v>46321</v>
      </c>
      <c r="F442" t="inlineStr">
        <is>
          <t>SKÅNE LÄN</t>
        </is>
      </c>
      <c r="G442" t="inlineStr">
        <is>
          <t>OSBY</t>
        </is>
      </c>
      <c r="I442" t="n">
        <v>1.9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45906-2023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45195</v>
      </c>
      <c r="E443" s="1" t="n">
        <v>46321</v>
      </c>
      <c r="F443" t="inlineStr">
        <is>
          <t>SKÅNE LÄN</t>
        </is>
      </c>
      <c r="G443" t="inlineStr">
        <is>
          <t>OSBY</t>
        </is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45900-2023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45195</v>
      </c>
      <c r="E444" s="1" t="n">
        <v>46321</v>
      </c>
      <c r="F444" t="inlineStr">
        <is>
          <t>SKÅNE LÄN</t>
        </is>
      </c>
      <c r="G444" t="inlineStr">
        <is>
          <t>OSBY</t>
        </is>
      </c>
      <c r="I444" t="n">
        <v>1.1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7086-2023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44965</v>
      </c>
      <c r="E445" s="1" t="n">
        <v>46321</v>
      </c>
      <c r="F445" t="inlineStr">
        <is>
          <t>SKÅNE LÄN</t>
        </is>
      </c>
      <c r="G445" t="inlineStr">
        <is>
          <t>OSBY</t>
        </is>
      </c>
      <c r="I445" t="n">
        <v>1.3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33816-2022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44790</v>
      </c>
      <c r="E446" s="1" t="n">
        <v>46321</v>
      </c>
      <c r="F446" t="inlineStr">
        <is>
          <t>SKÅNE LÄN</t>
        </is>
      </c>
      <c r="G446" t="inlineStr">
        <is>
          <t>OSBY</t>
        </is>
      </c>
      <c r="I446" t="n">
        <v>2.4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17587-2023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45036</v>
      </c>
      <c r="E447" s="1" t="n">
        <v>46321</v>
      </c>
      <c r="F447" t="inlineStr">
        <is>
          <t>SKÅNE LÄN</t>
        </is>
      </c>
      <c r="G447" t="inlineStr">
        <is>
          <t>OSBY</t>
        </is>
      </c>
      <c r="I447" t="n">
        <v>2.6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61520-2022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44910</v>
      </c>
      <c r="E448" s="1" t="n">
        <v>46321</v>
      </c>
      <c r="F448" t="inlineStr">
        <is>
          <t>SKÅNE LÄN</t>
        </is>
      </c>
      <c r="G448" t="inlineStr">
        <is>
          <t>OSBY</t>
        </is>
      </c>
      <c r="H448" t="inlineStr">
        <is>
          <t>Kyrkan</t>
        </is>
      </c>
      <c r="I448" t="n">
        <v>2.6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59675-2023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45255</v>
      </c>
      <c r="E449" s="1" t="n">
        <v>46321</v>
      </c>
      <c r="F449" t="inlineStr">
        <is>
          <t>SKÅNE LÄN</t>
        </is>
      </c>
      <c r="G449" t="inlineStr">
        <is>
          <t>OSBY</t>
        </is>
      </c>
      <c r="I449" t="n">
        <v>8.300000000000001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61024-2023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45259</v>
      </c>
      <c r="E450" s="1" t="n">
        <v>46321</v>
      </c>
      <c r="F450" t="inlineStr">
        <is>
          <t>SKÅNE LÄN</t>
        </is>
      </c>
      <c r="G450" t="inlineStr">
        <is>
          <t>OSBY</t>
        </is>
      </c>
      <c r="I450" t="n">
        <v>6.8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31721-2023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45117</v>
      </c>
      <c r="E451" s="1" t="n">
        <v>46321</v>
      </c>
      <c r="F451" t="inlineStr">
        <is>
          <t>SKÅNE LÄN</t>
        </is>
      </c>
      <c r="G451" t="inlineStr">
        <is>
          <t>OSBY</t>
        </is>
      </c>
      <c r="I451" t="n">
        <v>1.3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57990-2022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44900</v>
      </c>
      <c r="E452" s="1" t="n">
        <v>46321</v>
      </c>
      <c r="F452" t="inlineStr">
        <is>
          <t>SKÅNE LÄN</t>
        </is>
      </c>
      <c r="G452" t="inlineStr">
        <is>
          <t>OSBY</t>
        </is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29024-2022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44749</v>
      </c>
      <c r="E453" s="1" t="n">
        <v>46321</v>
      </c>
      <c r="F453" t="inlineStr">
        <is>
          <t>SKÅNE LÄN</t>
        </is>
      </c>
      <c r="G453" t="inlineStr">
        <is>
          <t>OSBY</t>
        </is>
      </c>
      <c r="I453" t="n">
        <v>1.7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61018-2023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45259</v>
      </c>
      <c r="E454" s="1" t="n">
        <v>46321</v>
      </c>
      <c r="F454" t="inlineStr">
        <is>
          <t>SKÅNE LÄN</t>
        </is>
      </c>
      <c r="G454" t="inlineStr">
        <is>
          <t>OSBY</t>
        </is>
      </c>
      <c r="I454" t="n">
        <v>1.5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58638-2022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44902</v>
      </c>
      <c r="E455" s="1" t="n">
        <v>46321</v>
      </c>
      <c r="F455" t="inlineStr">
        <is>
          <t>SKÅNE LÄN</t>
        </is>
      </c>
      <c r="G455" t="inlineStr">
        <is>
          <t>OSBY</t>
        </is>
      </c>
      <c r="I455" t="n">
        <v>1.1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12872-2025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45733</v>
      </c>
      <c r="E456" s="1" t="n">
        <v>46321</v>
      </c>
      <c r="F456" t="inlineStr">
        <is>
          <t>SKÅNE LÄN</t>
        </is>
      </c>
      <c r="G456" t="inlineStr">
        <is>
          <t>OSBY</t>
        </is>
      </c>
      <c r="I456" t="n">
        <v>1.9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57222-2022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44895</v>
      </c>
      <c r="E457" s="1" t="n">
        <v>46321</v>
      </c>
      <c r="F457" t="inlineStr">
        <is>
          <t>SKÅNE LÄN</t>
        </is>
      </c>
      <c r="G457" t="inlineStr">
        <is>
          <t>OSBY</t>
        </is>
      </c>
      <c r="I457" t="n">
        <v>1.7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41547-2022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44826</v>
      </c>
      <c r="E458" s="1" t="n">
        <v>46321</v>
      </c>
      <c r="F458" t="inlineStr">
        <is>
          <t>SKÅNE LÄN</t>
        </is>
      </c>
      <c r="G458" t="inlineStr">
        <is>
          <t>OSBY</t>
        </is>
      </c>
      <c r="I458" t="n">
        <v>0.6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9651-2024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45360</v>
      </c>
      <c r="E459" s="1" t="n">
        <v>46321</v>
      </c>
      <c r="F459" t="inlineStr">
        <is>
          <t>SKÅNE LÄN</t>
        </is>
      </c>
      <c r="G459" t="inlineStr">
        <is>
          <t>OSBY</t>
        </is>
      </c>
      <c r="I459" t="n">
        <v>1.5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11048-2025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45723</v>
      </c>
      <c r="E460" s="1" t="n">
        <v>46321</v>
      </c>
      <c r="F460" t="inlineStr">
        <is>
          <t>SKÅNE LÄN</t>
        </is>
      </c>
      <c r="G460" t="inlineStr">
        <is>
          <t>OSBY</t>
        </is>
      </c>
      <c r="I460" t="n">
        <v>0.6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49622-2023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45211</v>
      </c>
      <c r="E461" s="1" t="n">
        <v>46321</v>
      </c>
      <c r="F461" t="inlineStr">
        <is>
          <t>SKÅNE LÄN</t>
        </is>
      </c>
      <c r="G461" t="inlineStr">
        <is>
          <t>OSBY</t>
        </is>
      </c>
      <c r="I461" t="n">
        <v>3.3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52857-2022</t>
        </is>
      </c>
      <c r="B462" t="inlineStr">
        <is>
          <t>avverkningsanmälan</t>
        </is>
      </c>
      <c r="C462" t="inlineStr">
        <is>
          <t>Avverkning för annat ändamål</t>
        </is>
      </c>
      <c r="D462" s="1" t="n">
        <v>44872</v>
      </c>
      <c r="E462" s="1" t="n">
        <v>46321</v>
      </c>
      <c r="F462" t="inlineStr">
        <is>
          <t>SKÅNE LÄN</t>
        </is>
      </c>
      <c r="G462" t="inlineStr">
        <is>
          <t>OSBY</t>
        </is>
      </c>
      <c r="H462" t="inlineStr">
        <is>
          <t>Sveaskog</t>
        </is>
      </c>
      <c r="I462" t="n">
        <v>0.8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62116-2022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44921</v>
      </c>
      <c r="E463" s="1" t="n">
        <v>46321</v>
      </c>
      <c r="F463" t="inlineStr">
        <is>
          <t>SKÅNE LÄN</t>
        </is>
      </c>
      <c r="G463" t="inlineStr">
        <is>
          <t>OSBY</t>
        </is>
      </c>
      <c r="I463" t="n">
        <v>1.1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31991-2023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45107</v>
      </c>
      <c r="E464" s="1" t="n">
        <v>46321</v>
      </c>
      <c r="F464" t="inlineStr">
        <is>
          <t>SKÅNE LÄN</t>
        </is>
      </c>
      <c r="G464" t="inlineStr">
        <is>
          <t>OSBY</t>
        </is>
      </c>
      <c r="I464" t="n">
        <v>1.5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55389-2023</t>
        </is>
      </c>
      <c r="B465" t="inlineStr">
        <is>
          <t>avverkningsanmälan</t>
        </is>
      </c>
      <c r="C465" t="inlineStr">
        <is>
          <t>Avverkning för annat ändamål</t>
        </is>
      </c>
      <c r="D465" s="1" t="n">
        <v>45238</v>
      </c>
      <c r="E465" s="1" t="n">
        <v>46321</v>
      </c>
      <c r="F465" t="inlineStr">
        <is>
          <t>SKÅNE LÄN</t>
        </is>
      </c>
      <c r="G465" t="inlineStr">
        <is>
          <t>OSBY</t>
        </is>
      </c>
      <c r="I465" t="n">
        <v>1.1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56166-2023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45240</v>
      </c>
      <c r="E466" s="1" t="n">
        <v>46321</v>
      </c>
      <c r="F466" t="inlineStr">
        <is>
          <t>SKÅNE LÄN</t>
        </is>
      </c>
      <c r="G466" t="inlineStr">
        <is>
          <t>OSBY</t>
        </is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15143-2023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45015</v>
      </c>
      <c r="E467" s="1" t="n">
        <v>46321</v>
      </c>
      <c r="F467" t="inlineStr">
        <is>
          <t>SKÅNE LÄN</t>
        </is>
      </c>
      <c r="G467" t="inlineStr">
        <is>
          <t>OSBY</t>
        </is>
      </c>
      <c r="H467" t="inlineStr">
        <is>
          <t>Naturvårdsverket</t>
        </is>
      </c>
      <c r="I467" t="n">
        <v>2.3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24446-2023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45082</v>
      </c>
      <c r="E468" s="1" t="n">
        <v>46321</v>
      </c>
      <c r="F468" t="inlineStr">
        <is>
          <t>SKÅNE LÄN</t>
        </is>
      </c>
      <c r="G468" t="inlineStr">
        <is>
          <t>OSBY</t>
        </is>
      </c>
      <c r="I468" t="n">
        <v>1.4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34972-2023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45141</v>
      </c>
      <c r="E469" s="1" t="n">
        <v>46321</v>
      </c>
      <c r="F469" t="inlineStr">
        <is>
          <t>SKÅNE LÄN</t>
        </is>
      </c>
      <c r="G469" t="inlineStr">
        <is>
          <t>OSBY</t>
        </is>
      </c>
      <c r="I469" t="n">
        <v>2.4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30275-2023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45110</v>
      </c>
      <c r="E470" s="1" t="n">
        <v>46321</v>
      </c>
      <c r="F470" t="inlineStr">
        <is>
          <t>SKÅNE LÄN</t>
        </is>
      </c>
      <c r="G470" t="inlineStr">
        <is>
          <t>OSBY</t>
        </is>
      </c>
      <c r="I470" t="n">
        <v>0.6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13138-2023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45002</v>
      </c>
      <c r="E471" s="1" t="n">
        <v>46321</v>
      </c>
      <c r="F471" t="inlineStr">
        <is>
          <t>SKÅNE LÄN</t>
        </is>
      </c>
      <c r="G471" t="inlineStr">
        <is>
          <t>OSBY</t>
        </is>
      </c>
      <c r="I471" t="n">
        <v>2.5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15733-2024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45404</v>
      </c>
      <c r="E472" s="1" t="n">
        <v>46321</v>
      </c>
      <c r="F472" t="inlineStr">
        <is>
          <t>SKÅNE LÄN</t>
        </is>
      </c>
      <c r="G472" t="inlineStr">
        <is>
          <t>OSBY</t>
        </is>
      </c>
      <c r="I472" t="n">
        <v>4.8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48126-2024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45589</v>
      </c>
      <c r="E473" s="1" t="n">
        <v>46321</v>
      </c>
      <c r="F473" t="inlineStr">
        <is>
          <t>SKÅNE LÄN</t>
        </is>
      </c>
      <c r="G473" t="inlineStr">
        <is>
          <t>OSBY</t>
        </is>
      </c>
      <c r="I473" t="n">
        <v>2.4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23813-2023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45078</v>
      </c>
      <c r="E474" s="1" t="n">
        <v>46321</v>
      </c>
      <c r="F474" t="inlineStr">
        <is>
          <t>SKÅNE LÄN</t>
        </is>
      </c>
      <c r="G474" t="inlineStr">
        <is>
          <t>OSBY</t>
        </is>
      </c>
      <c r="I474" t="n">
        <v>0.9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23816-2023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45078</v>
      </c>
      <c r="E475" s="1" t="n">
        <v>46321</v>
      </c>
      <c r="F475" t="inlineStr">
        <is>
          <t>SKÅNE LÄN</t>
        </is>
      </c>
      <c r="G475" t="inlineStr">
        <is>
          <t>OSBY</t>
        </is>
      </c>
      <c r="I475" t="n">
        <v>0.5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74016-2021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44557</v>
      </c>
      <c r="E476" s="1" t="n">
        <v>46321</v>
      </c>
      <c r="F476" t="inlineStr">
        <is>
          <t>SKÅNE LÄN</t>
        </is>
      </c>
      <c r="G476" t="inlineStr">
        <is>
          <t>OSBY</t>
        </is>
      </c>
      <c r="I476" t="n">
        <v>2.8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64469-2021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44511</v>
      </c>
      <c r="E477" s="1" t="n">
        <v>46321</v>
      </c>
      <c r="F477" t="inlineStr">
        <is>
          <t>SKÅNE LÄN</t>
        </is>
      </c>
      <c r="G477" t="inlineStr">
        <is>
          <t>OSBY</t>
        </is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68592-2021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44529</v>
      </c>
      <c r="E478" s="1" t="n">
        <v>46321</v>
      </c>
      <c r="F478" t="inlineStr">
        <is>
          <t>SKÅNE LÄN</t>
        </is>
      </c>
      <c r="G478" t="inlineStr">
        <is>
          <t>OSBY</t>
        </is>
      </c>
      <c r="I478" t="n">
        <v>1.3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27281-2023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45096</v>
      </c>
      <c r="E479" s="1" t="n">
        <v>46321</v>
      </c>
      <c r="F479" t="inlineStr">
        <is>
          <t>SKÅNE LÄN</t>
        </is>
      </c>
      <c r="G479" t="inlineStr">
        <is>
          <t>OSBY</t>
        </is>
      </c>
      <c r="H479" t="inlineStr">
        <is>
          <t>Sveaskog</t>
        </is>
      </c>
      <c r="I479" t="n">
        <v>1.5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57856-2024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45630</v>
      </c>
      <c r="E480" s="1" t="n">
        <v>46321</v>
      </c>
      <c r="F480" t="inlineStr">
        <is>
          <t>SKÅNE LÄN</t>
        </is>
      </c>
      <c r="G480" t="inlineStr">
        <is>
          <t>OSBY</t>
        </is>
      </c>
      <c r="I480" t="n">
        <v>0.7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21656-2023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45063</v>
      </c>
      <c r="E481" s="1" t="n">
        <v>46321</v>
      </c>
      <c r="F481" t="inlineStr">
        <is>
          <t>SKÅNE LÄN</t>
        </is>
      </c>
      <c r="G481" t="inlineStr">
        <is>
          <t>OSBY</t>
        </is>
      </c>
      <c r="I481" t="n">
        <v>0.7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6698-2023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44966</v>
      </c>
      <c r="E482" s="1" t="n">
        <v>46321</v>
      </c>
      <c r="F482" t="inlineStr">
        <is>
          <t>SKÅNE LÄN</t>
        </is>
      </c>
      <c r="G482" t="inlineStr">
        <is>
          <t>OSBY</t>
        </is>
      </c>
      <c r="I482" t="n">
        <v>0.7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50880-2022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44867</v>
      </c>
      <c r="E483" s="1" t="n">
        <v>46321</v>
      </c>
      <c r="F483" t="inlineStr">
        <is>
          <t>SKÅNE LÄN</t>
        </is>
      </c>
      <c r="G483" t="inlineStr">
        <is>
          <t>OSBY</t>
        </is>
      </c>
      <c r="I483" t="n">
        <v>5.5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34966-2023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45141</v>
      </c>
      <c r="E484" s="1" t="n">
        <v>46321</v>
      </c>
      <c r="F484" t="inlineStr">
        <is>
          <t>SKÅNE LÄN</t>
        </is>
      </c>
      <c r="G484" t="inlineStr">
        <is>
          <t>OSBY</t>
        </is>
      </c>
      <c r="I484" t="n">
        <v>1.7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41529-2023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45175</v>
      </c>
      <c r="E485" s="1" t="n">
        <v>46321</v>
      </c>
      <c r="F485" t="inlineStr">
        <is>
          <t>SKÅNE LÄN</t>
        </is>
      </c>
      <c r="G485" t="inlineStr">
        <is>
          <t>OSBY</t>
        </is>
      </c>
      <c r="I485" t="n">
        <v>1.1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62114-2024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45656</v>
      </c>
      <c r="E486" s="1" t="n">
        <v>46321</v>
      </c>
      <c r="F486" t="inlineStr">
        <is>
          <t>SKÅNE LÄN</t>
        </is>
      </c>
      <c r="G486" t="inlineStr">
        <is>
          <t>OSBY</t>
        </is>
      </c>
      <c r="I486" t="n">
        <v>0.5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38485-2023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45162</v>
      </c>
      <c r="E487" s="1" t="n">
        <v>46321</v>
      </c>
      <c r="F487" t="inlineStr">
        <is>
          <t>SKÅNE LÄN</t>
        </is>
      </c>
      <c r="G487" t="inlineStr">
        <is>
          <t>OSBY</t>
        </is>
      </c>
      <c r="I487" t="n">
        <v>2.1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60404-2024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45643</v>
      </c>
      <c r="E488" s="1" t="n">
        <v>46321</v>
      </c>
      <c r="F488" t="inlineStr">
        <is>
          <t>SKÅNE LÄN</t>
        </is>
      </c>
      <c r="G488" t="inlineStr">
        <is>
          <t>OSBY</t>
        </is>
      </c>
      <c r="I488" t="n">
        <v>0.8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31624-2023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45117</v>
      </c>
      <c r="E489" s="1" t="n">
        <v>46321</v>
      </c>
      <c r="F489" t="inlineStr">
        <is>
          <t>SKÅNE LÄN</t>
        </is>
      </c>
      <c r="G489" t="inlineStr">
        <is>
          <t>OSBY</t>
        </is>
      </c>
      <c r="H489" t="inlineStr">
        <is>
          <t>Sveaskog</t>
        </is>
      </c>
      <c r="I489" t="n">
        <v>5.7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14307-2023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45011</v>
      </c>
      <c r="E490" s="1" t="n">
        <v>46321</v>
      </c>
      <c r="F490" t="inlineStr">
        <is>
          <t>SKÅNE LÄN</t>
        </is>
      </c>
      <c r="G490" t="inlineStr">
        <is>
          <t>OSBY</t>
        </is>
      </c>
      <c r="I490" t="n">
        <v>2.5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27005-2024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45471</v>
      </c>
      <c r="E491" s="1" t="n">
        <v>46321</v>
      </c>
      <c r="F491" t="inlineStr">
        <is>
          <t>SKÅNE LÄN</t>
        </is>
      </c>
      <c r="G491" t="inlineStr">
        <is>
          <t>OSBY</t>
        </is>
      </c>
      <c r="I491" t="n">
        <v>0.5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3454-2022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44585</v>
      </c>
      <c r="E492" s="1" t="n">
        <v>46321</v>
      </c>
      <c r="F492" t="inlineStr">
        <is>
          <t>SKÅNE LÄN</t>
        </is>
      </c>
      <c r="G492" t="inlineStr">
        <is>
          <t>OSBY</t>
        </is>
      </c>
      <c r="H492" t="inlineStr">
        <is>
          <t>Sveaskog</t>
        </is>
      </c>
      <c r="I492" t="n">
        <v>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36232-2024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45534</v>
      </c>
      <c r="E493" s="1" t="n">
        <v>46321</v>
      </c>
      <c r="F493" t="inlineStr">
        <is>
          <t>SKÅNE LÄN</t>
        </is>
      </c>
      <c r="G493" t="inlineStr">
        <is>
          <t>OSBY</t>
        </is>
      </c>
      <c r="I493" t="n">
        <v>1.5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36229-2024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45534</v>
      </c>
      <c r="E494" s="1" t="n">
        <v>46321</v>
      </c>
      <c r="F494" t="inlineStr">
        <is>
          <t>SKÅNE LÄN</t>
        </is>
      </c>
      <c r="G494" t="inlineStr">
        <is>
          <t>OSBY</t>
        </is>
      </c>
      <c r="I494" t="n">
        <v>1.1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50728-2023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45217</v>
      </c>
      <c r="E495" s="1" t="n">
        <v>46321</v>
      </c>
      <c r="F495" t="inlineStr">
        <is>
          <t>SKÅNE LÄN</t>
        </is>
      </c>
      <c r="G495" t="inlineStr">
        <is>
          <t>OSBY</t>
        </is>
      </c>
      <c r="H495" t="inlineStr">
        <is>
          <t>Kommuner</t>
        </is>
      </c>
      <c r="I495" t="n">
        <v>1.8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17673-2023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45035</v>
      </c>
      <c r="E496" s="1" t="n">
        <v>46321</v>
      </c>
      <c r="F496" t="inlineStr">
        <is>
          <t>SKÅNE LÄN</t>
        </is>
      </c>
      <c r="G496" t="inlineStr">
        <is>
          <t>OSBY</t>
        </is>
      </c>
      <c r="I496" t="n">
        <v>3.8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42751-2022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44832</v>
      </c>
      <c r="E497" s="1" t="n">
        <v>46321</v>
      </c>
      <c r="F497" t="inlineStr">
        <is>
          <t>SKÅNE LÄN</t>
        </is>
      </c>
      <c r="G497" t="inlineStr">
        <is>
          <t>OSBY</t>
        </is>
      </c>
      <c r="I497" t="n">
        <v>1.4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13109-2022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44644</v>
      </c>
      <c r="E498" s="1" t="n">
        <v>46321</v>
      </c>
      <c r="F498" t="inlineStr">
        <is>
          <t>SKÅNE LÄN</t>
        </is>
      </c>
      <c r="G498" t="inlineStr">
        <is>
          <t>OSBY</t>
        </is>
      </c>
      <c r="I498" t="n">
        <v>0.8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7881-2025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45706</v>
      </c>
      <c r="E499" s="1" t="n">
        <v>46321</v>
      </c>
      <c r="F499" t="inlineStr">
        <is>
          <t>SKÅNE LÄN</t>
        </is>
      </c>
      <c r="G499" t="inlineStr">
        <is>
          <t>OSBY</t>
        </is>
      </c>
      <c r="I499" t="n">
        <v>1.4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15181-2022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44658</v>
      </c>
      <c r="E500" s="1" t="n">
        <v>46321</v>
      </c>
      <c r="F500" t="inlineStr">
        <is>
          <t>SKÅNE LÄN</t>
        </is>
      </c>
      <c r="G500" t="inlineStr">
        <is>
          <t>OSBY</t>
        </is>
      </c>
      <c r="I500" t="n">
        <v>0.5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46246-2023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45196</v>
      </c>
      <c r="E501" s="1" t="n">
        <v>46321</v>
      </c>
      <c r="F501" t="inlineStr">
        <is>
          <t>SKÅNE LÄN</t>
        </is>
      </c>
      <c r="G501" t="inlineStr">
        <is>
          <t>OSBY</t>
        </is>
      </c>
      <c r="I501" t="n">
        <v>2.3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3452-2022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44585</v>
      </c>
      <c r="E502" s="1" t="n">
        <v>46321</v>
      </c>
      <c r="F502" t="inlineStr">
        <is>
          <t>SKÅNE LÄN</t>
        </is>
      </c>
      <c r="G502" t="inlineStr">
        <is>
          <t>OSBY</t>
        </is>
      </c>
      <c r="H502" t="inlineStr">
        <is>
          <t>Sveaskog</t>
        </is>
      </c>
      <c r="I502" t="n">
        <v>2.7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31970-2023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45119</v>
      </c>
      <c r="E503" s="1" t="n">
        <v>46321</v>
      </c>
      <c r="F503" t="inlineStr">
        <is>
          <t>SKÅNE LÄN</t>
        </is>
      </c>
      <c r="G503" t="inlineStr">
        <is>
          <t>OSBY</t>
        </is>
      </c>
      <c r="I503" t="n">
        <v>1.1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23299-2024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45453</v>
      </c>
      <c r="E504" s="1" t="n">
        <v>46321</v>
      </c>
      <c r="F504" t="inlineStr">
        <is>
          <t>SKÅNE LÄN</t>
        </is>
      </c>
      <c r="G504" t="inlineStr">
        <is>
          <t>OSBY</t>
        </is>
      </c>
      <c r="I504" t="n">
        <v>2.4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5990-2025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45695</v>
      </c>
      <c r="E505" s="1" t="n">
        <v>46321</v>
      </c>
      <c r="F505" t="inlineStr">
        <is>
          <t>SKÅNE LÄN</t>
        </is>
      </c>
      <c r="G505" t="inlineStr">
        <is>
          <t>OSBY</t>
        </is>
      </c>
      <c r="I505" t="n">
        <v>19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52409-2024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45609</v>
      </c>
      <c r="E506" s="1" t="n">
        <v>46321</v>
      </c>
      <c r="F506" t="inlineStr">
        <is>
          <t>SKÅNE LÄN</t>
        </is>
      </c>
      <c r="G506" t="inlineStr">
        <is>
          <t>OSBY</t>
        </is>
      </c>
      <c r="I506" t="n">
        <v>2.2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35875-2023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45148</v>
      </c>
      <c r="E507" s="1" t="n">
        <v>46321</v>
      </c>
      <c r="F507" t="inlineStr">
        <is>
          <t>SKÅNE LÄN</t>
        </is>
      </c>
      <c r="G507" t="inlineStr">
        <is>
          <t>OSBY</t>
        </is>
      </c>
      <c r="I507" t="n">
        <v>1.1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15797-2022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44663</v>
      </c>
      <c r="E508" s="1" t="n">
        <v>46321</v>
      </c>
      <c r="F508" t="inlineStr">
        <is>
          <t>SKÅNE LÄN</t>
        </is>
      </c>
      <c r="G508" t="inlineStr">
        <is>
          <t>OSBY</t>
        </is>
      </c>
      <c r="I508" t="n">
        <v>3.1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1152-2025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45666</v>
      </c>
      <c r="E509" s="1" t="n">
        <v>46321</v>
      </c>
      <c r="F509" t="inlineStr">
        <is>
          <t>SKÅNE LÄN</t>
        </is>
      </c>
      <c r="G509" t="inlineStr">
        <is>
          <t>OSBY</t>
        </is>
      </c>
      <c r="I509" t="n">
        <v>0.4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34581-2023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45140</v>
      </c>
      <c r="E510" s="1" t="n">
        <v>46321</v>
      </c>
      <c r="F510" t="inlineStr">
        <is>
          <t>SKÅNE LÄN</t>
        </is>
      </c>
      <c r="G510" t="inlineStr">
        <is>
          <t>OSBY</t>
        </is>
      </c>
      <c r="I510" t="n">
        <v>0.5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9430-2025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45715</v>
      </c>
      <c r="E511" s="1" t="n">
        <v>46321</v>
      </c>
      <c r="F511" t="inlineStr">
        <is>
          <t>SKÅNE LÄN</t>
        </is>
      </c>
      <c r="G511" t="inlineStr">
        <is>
          <t>OSBY</t>
        </is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4496-2025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45686</v>
      </c>
      <c r="E512" s="1" t="n">
        <v>46321</v>
      </c>
      <c r="F512" t="inlineStr">
        <is>
          <t>SKÅNE LÄN</t>
        </is>
      </c>
      <c r="G512" t="inlineStr">
        <is>
          <t>OSBY</t>
        </is>
      </c>
      <c r="I512" t="n">
        <v>1.3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48840-2023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45209</v>
      </c>
      <c r="E513" s="1" t="n">
        <v>46321</v>
      </c>
      <c r="F513" t="inlineStr">
        <is>
          <t>SKÅNE LÄN</t>
        </is>
      </c>
      <c r="G513" t="inlineStr">
        <is>
          <t>OSBY</t>
        </is>
      </c>
      <c r="I513" t="n">
        <v>7.9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31758-2022</t>
        </is>
      </c>
      <c r="B514" t="inlineStr">
        <is>
          <t>avverkningsanmälan</t>
        </is>
      </c>
      <c r="C514" t="inlineStr">
        <is>
          <t>Avverkning för annat ändamål</t>
        </is>
      </c>
      <c r="D514" s="1" t="n">
        <v>44776</v>
      </c>
      <c r="E514" s="1" t="n">
        <v>46321</v>
      </c>
      <c r="F514" t="inlineStr">
        <is>
          <t>SKÅNE LÄN</t>
        </is>
      </c>
      <c r="G514" t="inlineStr">
        <is>
          <t>OSBY</t>
        </is>
      </c>
      <c r="I514" t="n">
        <v>1.3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45420-2023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45194</v>
      </c>
      <c r="E515" s="1" t="n">
        <v>46321</v>
      </c>
      <c r="F515" t="inlineStr">
        <is>
          <t>SKÅNE LÄN</t>
        </is>
      </c>
      <c r="G515" t="inlineStr">
        <is>
          <t>OSBY</t>
        </is>
      </c>
      <c r="I515" t="n">
        <v>0.8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18294-2024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45422</v>
      </c>
      <c r="E516" s="1" t="n">
        <v>46321</v>
      </c>
      <c r="F516" t="inlineStr">
        <is>
          <t>SKÅNE LÄN</t>
        </is>
      </c>
      <c r="G516" t="inlineStr">
        <is>
          <t>OSBY</t>
        </is>
      </c>
      <c r="I516" t="n">
        <v>4.6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57782-2024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45631</v>
      </c>
      <c r="E517" s="1" t="n">
        <v>46321</v>
      </c>
      <c r="F517" t="inlineStr">
        <is>
          <t>SKÅNE LÄN</t>
        </is>
      </c>
      <c r="G517" t="inlineStr">
        <is>
          <t>OSBY</t>
        </is>
      </c>
      <c r="I517" t="n">
        <v>1.3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30211-2023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45110</v>
      </c>
      <c r="E518" s="1" t="n">
        <v>46321</v>
      </c>
      <c r="F518" t="inlineStr">
        <is>
          <t>SKÅNE LÄN</t>
        </is>
      </c>
      <c r="G518" t="inlineStr">
        <is>
          <t>OSBY</t>
        </is>
      </c>
      <c r="I518" t="n">
        <v>2.9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46425-2023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45197</v>
      </c>
      <c r="E519" s="1" t="n">
        <v>46321</v>
      </c>
      <c r="F519" t="inlineStr">
        <is>
          <t>SKÅNE LÄN</t>
        </is>
      </c>
      <c r="G519" t="inlineStr">
        <is>
          <t>OSBY</t>
        </is>
      </c>
      <c r="I519" t="n">
        <v>1.9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46431-2023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45197</v>
      </c>
      <c r="E520" s="1" t="n">
        <v>46321</v>
      </c>
      <c r="F520" t="inlineStr">
        <is>
          <t>SKÅNE LÄN</t>
        </is>
      </c>
      <c r="G520" t="inlineStr">
        <is>
          <t>OSBY</t>
        </is>
      </c>
      <c r="I520" t="n">
        <v>1.1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1051-2024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45301</v>
      </c>
      <c r="E521" s="1" t="n">
        <v>46321</v>
      </c>
      <c r="F521" t="inlineStr">
        <is>
          <t>SKÅNE LÄN</t>
        </is>
      </c>
      <c r="G521" t="inlineStr">
        <is>
          <t>OSBY</t>
        </is>
      </c>
      <c r="I521" t="n">
        <v>0.8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53774-2023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45231</v>
      </c>
      <c r="E522" s="1" t="n">
        <v>46321</v>
      </c>
      <c r="F522" t="inlineStr">
        <is>
          <t>SKÅNE LÄN</t>
        </is>
      </c>
      <c r="G522" t="inlineStr">
        <is>
          <t>OSBY</t>
        </is>
      </c>
      <c r="I522" t="n">
        <v>1.2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33822-2022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44790</v>
      </c>
      <c r="E523" s="1" t="n">
        <v>46321</v>
      </c>
      <c r="F523" t="inlineStr">
        <is>
          <t>SKÅNE LÄN</t>
        </is>
      </c>
      <c r="G523" t="inlineStr">
        <is>
          <t>OSBY</t>
        </is>
      </c>
      <c r="I523" t="n">
        <v>9.1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2635-2024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45314</v>
      </c>
      <c r="E524" s="1" t="n">
        <v>46321</v>
      </c>
      <c r="F524" t="inlineStr">
        <is>
          <t>SKÅNE LÄN</t>
        </is>
      </c>
      <c r="G524" t="inlineStr">
        <is>
          <t>OSBY</t>
        </is>
      </c>
      <c r="I524" t="n">
        <v>2.1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35986-2022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44802</v>
      </c>
      <c r="E525" s="1" t="n">
        <v>46321</v>
      </c>
      <c r="F525" t="inlineStr">
        <is>
          <t>SKÅNE LÄN</t>
        </is>
      </c>
      <c r="G525" t="inlineStr">
        <is>
          <t>OSBY</t>
        </is>
      </c>
      <c r="I525" t="n">
        <v>2.6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61602-2023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45265</v>
      </c>
      <c r="E526" s="1" t="n">
        <v>46321</v>
      </c>
      <c r="F526" t="inlineStr">
        <is>
          <t>SKÅNE LÄN</t>
        </is>
      </c>
      <c r="G526" t="inlineStr">
        <is>
          <t>OSBY</t>
        </is>
      </c>
      <c r="I526" t="n">
        <v>1.2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55294-2023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45237</v>
      </c>
      <c r="E527" s="1" t="n">
        <v>46321</v>
      </c>
      <c r="F527" t="inlineStr">
        <is>
          <t>SKÅNE LÄN</t>
        </is>
      </c>
      <c r="G527" t="inlineStr">
        <is>
          <t>OSBY</t>
        </is>
      </c>
      <c r="I527" t="n">
        <v>2.2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50380-2023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45216</v>
      </c>
      <c r="E528" s="1" t="n">
        <v>46321</v>
      </c>
      <c r="F528" t="inlineStr">
        <is>
          <t>SKÅNE LÄN</t>
        </is>
      </c>
      <c r="G528" t="inlineStr">
        <is>
          <t>OSBY</t>
        </is>
      </c>
      <c r="I528" t="n">
        <v>2.5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40388-2024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45555</v>
      </c>
      <c r="E529" s="1" t="n">
        <v>46321</v>
      </c>
      <c r="F529" t="inlineStr">
        <is>
          <t>SKÅNE LÄN</t>
        </is>
      </c>
      <c r="G529" t="inlineStr">
        <is>
          <t>OSBY</t>
        </is>
      </c>
      <c r="I529" t="n">
        <v>0.4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52089-2022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44873</v>
      </c>
      <c r="E530" s="1" t="n">
        <v>46321</v>
      </c>
      <c r="F530" t="inlineStr">
        <is>
          <t>SKÅNE LÄN</t>
        </is>
      </c>
      <c r="G530" t="inlineStr">
        <is>
          <t>OSBY</t>
        </is>
      </c>
      <c r="I530" t="n">
        <v>2.8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12680-2025</t>
        </is>
      </c>
      <c r="B531" t="inlineStr">
        <is>
          <t>avverkningsanmälan</t>
        </is>
      </c>
      <c r="C531" t="inlineStr">
        <is>
          <t>Avverkning för att bevara och utveckla /försöksver</t>
        </is>
      </c>
      <c r="D531" s="1" t="n">
        <v>45733</v>
      </c>
      <c r="E531" s="1" t="n">
        <v>46321</v>
      </c>
      <c r="F531" t="inlineStr">
        <is>
          <t>SKÅNE LÄN</t>
        </is>
      </c>
      <c r="G531" t="inlineStr">
        <is>
          <t>OSBY</t>
        </is>
      </c>
      <c r="H531" t="inlineStr">
        <is>
          <t>Sveaskog</t>
        </is>
      </c>
      <c r="I531" t="n">
        <v>2.1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6968-2022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44603</v>
      </c>
      <c r="E532" s="1" t="n">
        <v>46321</v>
      </c>
      <c r="F532" t="inlineStr">
        <is>
          <t>SKÅNE LÄN</t>
        </is>
      </c>
      <c r="G532" t="inlineStr">
        <is>
          <t>OSBY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35715-2023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45147</v>
      </c>
      <c r="E533" s="1" t="n">
        <v>46321</v>
      </c>
      <c r="F533" t="inlineStr">
        <is>
          <t>SKÅNE LÄN</t>
        </is>
      </c>
      <c r="G533" t="inlineStr">
        <is>
          <t>OSBY</t>
        </is>
      </c>
      <c r="I533" t="n">
        <v>2.9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53003-2024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45610</v>
      </c>
      <c r="E534" s="1" t="n">
        <v>46321</v>
      </c>
      <c r="F534" t="inlineStr">
        <is>
          <t>SKÅNE LÄN</t>
        </is>
      </c>
      <c r="G534" t="inlineStr">
        <is>
          <t>OSBY</t>
        </is>
      </c>
      <c r="I534" t="n">
        <v>2.9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9670-2023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44978</v>
      </c>
      <c r="E535" s="1" t="n">
        <v>46321</v>
      </c>
      <c r="F535" t="inlineStr">
        <is>
          <t>SKÅNE LÄN</t>
        </is>
      </c>
      <c r="G535" t="inlineStr">
        <is>
          <t>OSBY</t>
        </is>
      </c>
      <c r="H535" t="inlineStr">
        <is>
          <t>Naturvårdsverket</t>
        </is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61882-2024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45652</v>
      </c>
      <c r="E536" s="1" t="n">
        <v>46321</v>
      </c>
      <c r="F536" t="inlineStr">
        <is>
          <t>SKÅNE LÄN</t>
        </is>
      </c>
      <c r="G536" t="inlineStr">
        <is>
          <t>OSBY</t>
        </is>
      </c>
      <c r="I536" t="n">
        <v>1.2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60600-2022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44911</v>
      </c>
      <c r="E537" s="1" t="n">
        <v>46321</v>
      </c>
      <c r="F537" t="inlineStr">
        <is>
          <t>SKÅNE LÄN</t>
        </is>
      </c>
      <c r="G537" t="inlineStr">
        <is>
          <t>OSBY</t>
        </is>
      </c>
      <c r="I537" t="n">
        <v>15.4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6874-2024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45342</v>
      </c>
      <c r="E538" s="1" t="n">
        <v>46321</v>
      </c>
      <c r="F538" t="inlineStr">
        <is>
          <t>SKÅNE LÄN</t>
        </is>
      </c>
      <c r="G538" t="inlineStr">
        <is>
          <t>OSBY</t>
        </is>
      </c>
      <c r="I538" t="n">
        <v>0.6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3361-2022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44585</v>
      </c>
      <c r="E539" s="1" t="n">
        <v>46321</v>
      </c>
      <c r="F539" t="inlineStr">
        <is>
          <t>SKÅNE LÄN</t>
        </is>
      </c>
      <c r="G539" t="inlineStr">
        <is>
          <t>OSBY</t>
        </is>
      </c>
      <c r="I539" t="n">
        <v>1.3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2621-2022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44580</v>
      </c>
      <c r="E540" s="1" t="n">
        <v>46321</v>
      </c>
      <c r="F540" t="inlineStr">
        <is>
          <t>SKÅNE LÄN</t>
        </is>
      </c>
      <c r="G540" t="inlineStr">
        <is>
          <t>OSBY</t>
        </is>
      </c>
      <c r="I540" t="n">
        <v>1.8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20636-2024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45436</v>
      </c>
      <c r="E541" s="1" t="n">
        <v>46321</v>
      </c>
      <c r="F541" t="inlineStr">
        <is>
          <t>SKÅNE LÄN</t>
        </is>
      </c>
      <c r="G541" t="inlineStr">
        <is>
          <t>OSBY</t>
        </is>
      </c>
      <c r="I541" t="n">
        <v>3.4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61648-2022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44916</v>
      </c>
      <c r="E542" s="1" t="n">
        <v>46321</v>
      </c>
      <c r="F542" t="inlineStr">
        <is>
          <t>SKÅNE LÄN</t>
        </is>
      </c>
      <c r="G542" t="inlineStr">
        <is>
          <t>OSBY</t>
        </is>
      </c>
      <c r="I542" t="n">
        <v>1.3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3875-2023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44951</v>
      </c>
      <c r="E543" s="1" t="n">
        <v>46321</v>
      </c>
      <c r="F543" t="inlineStr">
        <is>
          <t>SKÅNE LÄN</t>
        </is>
      </c>
      <c r="G543" t="inlineStr">
        <is>
          <t>OSBY</t>
        </is>
      </c>
      <c r="I543" t="n">
        <v>0.6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17228-2024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45414</v>
      </c>
      <c r="E544" s="1" t="n">
        <v>46321</v>
      </c>
      <c r="F544" t="inlineStr">
        <is>
          <t>SKÅNE LÄN</t>
        </is>
      </c>
      <c r="G544" t="inlineStr">
        <is>
          <t>OSBY</t>
        </is>
      </c>
      <c r="I544" t="n">
        <v>3.2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3874-2023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44951</v>
      </c>
      <c r="E545" s="1" t="n">
        <v>46321</v>
      </c>
      <c r="F545" t="inlineStr">
        <is>
          <t>SKÅNE LÄN</t>
        </is>
      </c>
      <c r="G545" t="inlineStr">
        <is>
          <t>OSBY</t>
        </is>
      </c>
      <c r="I545" t="n">
        <v>1.8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27378-2022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44742</v>
      </c>
      <c r="E546" s="1" t="n">
        <v>46321</v>
      </c>
      <c r="F546" t="inlineStr">
        <is>
          <t>SKÅNE LÄN</t>
        </is>
      </c>
      <c r="G546" t="inlineStr">
        <is>
          <t>OSBY</t>
        </is>
      </c>
      <c r="I546" t="n">
        <v>3.7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45650-2022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44845</v>
      </c>
      <c r="E547" s="1" t="n">
        <v>46321</v>
      </c>
      <c r="F547" t="inlineStr">
        <is>
          <t>SKÅNE LÄN</t>
        </is>
      </c>
      <c r="G547" t="inlineStr">
        <is>
          <t>OSBY</t>
        </is>
      </c>
      <c r="I547" t="n">
        <v>3.8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S 1800-2022</t>
        </is>
      </c>
      <c r="B548" t="inlineStr">
        <is>
          <t>samrådsanmälan</t>
        </is>
      </c>
      <c r="C548" t="inlineStr">
        <is>
          <t>Askåterföring</t>
        </is>
      </c>
      <c r="D548" s="1" t="n">
        <v>44656</v>
      </c>
      <c r="E548" s="1" t="n">
        <v>46321</v>
      </c>
      <c r="F548" t="inlineStr">
        <is>
          <t>SKÅNE LÄN</t>
        </is>
      </c>
      <c r="G548" t="inlineStr">
        <is>
          <t>OSBY</t>
        </is>
      </c>
      <c r="I548" t="n">
        <v>7.8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S 1439-2022</t>
        </is>
      </c>
      <c r="B549" t="inlineStr">
        <is>
          <t>samrådsanmälan</t>
        </is>
      </c>
      <c r="C549" t="inlineStr">
        <is>
          <t>Skogsbilväg</t>
        </is>
      </c>
      <c r="D549" s="1" t="n">
        <v>44635</v>
      </c>
      <c r="E549" s="1" t="n">
        <v>46321</v>
      </c>
      <c r="F549" t="inlineStr">
        <is>
          <t>SKÅNE LÄN</t>
        </is>
      </c>
      <c r="G549" t="inlineStr">
        <is>
          <t>OSBY</t>
        </is>
      </c>
      <c r="I549" t="n">
        <v>0.6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S 3083-2022</t>
        </is>
      </c>
      <c r="B550" t="inlineStr">
        <is>
          <t>samrådsanmälan</t>
        </is>
      </c>
      <c r="C550" t="inlineStr">
        <is>
          <t>Åtgärd i nyckelbiotop</t>
        </is>
      </c>
      <c r="D550" s="1" t="n">
        <v>44719</v>
      </c>
      <c r="E550" s="1" t="n">
        <v>46321</v>
      </c>
      <c r="F550" t="inlineStr">
        <is>
          <t>SKÅNE LÄN</t>
        </is>
      </c>
      <c r="G550" t="inlineStr">
        <is>
          <t>OSBY</t>
        </is>
      </c>
      <c r="I550" t="n">
        <v>0.8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S 1209-2022</t>
        </is>
      </c>
      <c r="B551" t="inlineStr">
        <is>
          <t>samrådsanmälan</t>
        </is>
      </c>
      <c r="C551" t="inlineStr">
        <is>
          <t>Askåterföring</t>
        </is>
      </c>
      <c r="D551" s="1" t="n">
        <v>44622</v>
      </c>
      <c r="E551" s="1" t="n">
        <v>46321</v>
      </c>
      <c r="F551" t="inlineStr">
        <is>
          <t>SKÅNE LÄN</t>
        </is>
      </c>
      <c r="G551" t="inlineStr">
        <is>
          <t>OSBY</t>
        </is>
      </c>
      <c r="I551" t="n">
        <v>18.1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S 3844-2024</t>
        </is>
      </c>
      <c r="B552" t="inlineStr">
        <is>
          <t>samrådsanmälan</t>
        </is>
      </c>
      <c r="C552" t="inlineStr">
        <is>
          <t>Askåterföring</t>
        </is>
      </c>
      <c r="D552" s="1" t="n">
        <v>45560</v>
      </c>
      <c r="E552" s="1" t="n">
        <v>46321</v>
      </c>
      <c r="F552" t="inlineStr">
        <is>
          <t>SKÅNE LÄN</t>
        </is>
      </c>
      <c r="G552" t="inlineStr">
        <is>
          <t>OSBY</t>
        </is>
      </c>
      <c r="I552" t="n">
        <v>16.1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S 131-2023</t>
        </is>
      </c>
      <c r="B553" t="inlineStr">
        <is>
          <t>samrådsanmälan</t>
        </is>
      </c>
      <c r="C553" t="inlineStr">
        <is>
          <t>Askåterföring</t>
        </is>
      </c>
      <c r="D553" s="1" t="n">
        <v>44938</v>
      </c>
      <c r="E553" s="1" t="n">
        <v>46321</v>
      </c>
      <c r="F553" t="inlineStr">
        <is>
          <t>SKÅNE LÄN</t>
        </is>
      </c>
      <c r="G553" t="inlineStr">
        <is>
          <t>OSBY</t>
        </is>
      </c>
      <c r="I553" t="n">
        <v>6.3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S 2563-2024</t>
        </is>
      </c>
      <c r="B554" t="inlineStr">
        <is>
          <t>samrådsanmälan</t>
        </is>
      </c>
      <c r="C554" t="inlineStr">
        <is>
          <t>Askåterföring</t>
        </is>
      </c>
      <c r="D554" s="1" t="n">
        <v>45476</v>
      </c>
      <c r="E554" s="1" t="n">
        <v>46321</v>
      </c>
      <c r="F554" t="inlineStr">
        <is>
          <t>SKÅNE LÄN</t>
        </is>
      </c>
      <c r="G554" t="inlineStr">
        <is>
          <t>OSBY</t>
        </is>
      </c>
      <c r="I554" t="n">
        <v>14.2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S 5546-2022</t>
        </is>
      </c>
      <c r="B555" t="inlineStr">
        <is>
          <t>samrådsanmälan</t>
        </is>
      </c>
      <c r="C555" t="inlineStr">
        <is>
          <t>Askåterföring</t>
        </is>
      </c>
      <c r="D555" s="1" t="n">
        <v>44837</v>
      </c>
      <c r="E555" s="1" t="n">
        <v>46321</v>
      </c>
      <c r="F555" t="inlineStr">
        <is>
          <t>SKÅNE LÄN</t>
        </is>
      </c>
      <c r="G555" t="inlineStr">
        <is>
          <t>OSBY</t>
        </is>
      </c>
      <c r="I555" t="n">
        <v>20.9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S 4342-2023</t>
        </is>
      </c>
      <c r="B556" t="inlineStr">
        <is>
          <t>samrådsanmälan</t>
        </is>
      </c>
      <c r="C556" t="inlineStr">
        <is>
          <t>Askåterföring</t>
        </is>
      </c>
      <c r="D556" s="1" t="n">
        <v>45264</v>
      </c>
      <c r="E556" s="1" t="n">
        <v>46321</v>
      </c>
      <c r="F556" t="inlineStr">
        <is>
          <t>SKÅNE LÄN</t>
        </is>
      </c>
      <c r="G556" t="inlineStr">
        <is>
          <t>OSBY</t>
        </is>
      </c>
      <c r="I556" t="n">
        <v>21.2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S 1261-2024</t>
        </is>
      </c>
      <c r="B557" t="inlineStr">
        <is>
          <t>samrådsanmälan</t>
        </is>
      </c>
      <c r="C557" t="inlineStr">
        <is>
          <t>Askåterföring</t>
        </is>
      </c>
      <c r="D557" s="1" t="n">
        <v>45400</v>
      </c>
      <c r="E557" s="1" t="n">
        <v>46321</v>
      </c>
      <c r="F557" t="inlineStr">
        <is>
          <t>SKÅNE LÄN</t>
        </is>
      </c>
      <c r="G557" t="inlineStr">
        <is>
          <t>OSBY</t>
        </is>
      </c>
      <c r="I557" t="n">
        <v>11.8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S 731-2024</t>
        </is>
      </c>
      <c r="B558" t="inlineStr">
        <is>
          <t>samrådsanmälan</t>
        </is>
      </c>
      <c r="C558" t="inlineStr">
        <is>
          <t>Askåterföring</t>
        </is>
      </c>
      <c r="D558" s="1" t="n">
        <v>45365</v>
      </c>
      <c r="E558" s="1" t="n">
        <v>46321</v>
      </c>
      <c r="F558" t="inlineStr">
        <is>
          <t>SKÅNE LÄN</t>
        </is>
      </c>
      <c r="G558" t="inlineStr">
        <is>
          <t>OSBY</t>
        </is>
      </c>
      <c r="I558" t="n">
        <v>15.3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S 4466-2023</t>
        </is>
      </c>
      <c r="B559" t="inlineStr">
        <is>
          <t>samrådsanmälan</t>
        </is>
      </c>
      <c r="C559" t="inlineStr">
        <is>
          <t>Askåterföring</t>
        </is>
      </c>
      <c r="D559" s="1" t="n">
        <v>45272</v>
      </c>
      <c r="E559" s="1" t="n">
        <v>46321</v>
      </c>
      <c r="F559" t="inlineStr">
        <is>
          <t>SKÅNE LÄN</t>
        </is>
      </c>
      <c r="G559" t="inlineStr">
        <is>
          <t>OSBY</t>
        </is>
      </c>
      <c r="I559" t="n">
        <v>28.5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S 4916-2024</t>
        </is>
      </c>
      <c r="B560" t="inlineStr">
        <is>
          <t>samrådsanmälan</t>
        </is>
      </c>
      <c r="C560" t="inlineStr">
        <is>
          <t>Askåterföring</t>
        </is>
      </c>
      <c r="D560" s="1" t="n">
        <v>45622</v>
      </c>
      <c r="E560" s="1" t="n">
        <v>46321</v>
      </c>
      <c r="F560" t="inlineStr">
        <is>
          <t>SKÅNE LÄN</t>
        </is>
      </c>
      <c r="G560" t="inlineStr">
        <is>
          <t>OSBY</t>
        </is>
      </c>
      <c r="I560" t="n">
        <v>30.9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S 4775-2022</t>
        </is>
      </c>
      <c r="B561" t="inlineStr">
        <is>
          <t>samrådsanmälan</t>
        </is>
      </c>
      <c r="C561" t="inlineStr">
        <is>
          <t>Askåterföring</t>
        </is>
      </c>
      <c r="D561" s="1" t="n">
        <v>44802</v>
      </c>
      <c r="E561" s="1" t="n">
        <v>46321</v>
      </c>
      <c r="F561" t="inlineStr">
        <is>
          <t>SKÅNE LÄN</t>
        </is>
      </c>
      <c r="G561" t="inlineStr">
        <is>
          <t>OSBY</t>
        </is>
      </c>
      <c r="I561" t="n">
        <v>24.3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S 4776-2022</t>
        </is>
      </c>
      <c r="B562" t="inlineStr">
        <is>
          <t>samrådsanmälan</t>
        </is>
      </c>
      <c r="C562" t="inlineStr">
        <is>
          <t>Askåterföring</t>
        </is>
      </c>
      <c r="D562" s="1" t="n">
        <v>44802</v>
      </c>
      <c r="E562" s="1" t="n">
        <v>46321</v>
      </c>
      <c r="F562" t="inlineStr">
        <is>
          <t>SKÅNE LÄN</t>
        </is>
      </c>
      <c r="G562" t="inlineStr">
        <is>
          <t>OSBY</t>
        </is>
      </c>
      <c r="I562" t="n">
        <v>8.300000000000001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S 5209-2022</t>
        </is>
      </c>
      <c r="B563" t="inlineStr">
        <is>
          <t>samrådsanmälan</t>
        </is>
      </c>
      <c r="C563" t="inlineStr">
        <is>
          <t>Askåterföring</t>
        </is>
      </c>
      <c r="D563" s="1" t="n">
        <v>44820</v>
      </c>
      <c r="E563" s="1" t="n">
        <v>46321</v>
      </c>
      <c r="F563" t="inlineStr">
        <is>
          <t>SKÅNE LÄN</t>
        </is>
      </c>
      <c r="G563" t="inlineStr">
        <is>
          <t>OSBY</t>
        </is>
      </c>
      <c r="I563" t="n">
        <v>55.8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S 3116-2023</t>
        </is>
      </c>
      <c r="B564" t="inlineStr">
        <is>
          <t>samrådsanmälan</t>
        </is>
      </c>
      <c r="C564" t="inlineStr">
        <is>
          <t>Askåterföring</t>
        </is>
      </c>
      <c r="D564" s="1" t="n">
        <v>45182</v>
      </c>
      <c r="E564" s="1" t="n">
        <v>46321</v>
      </c>
      <c r="F564" t="inlineStr">
        <is>
          <t>SKÅNE LÄN</t>
        </is>
      </c>
      <c r="G564" t="inlineStr">
        <is>
          <t>OSBY</t>
        </is>
      </c>
      <c r="I564" t="n">
        <v>35.3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S 4901-2022</t>
        </is>
      </c>
      <c r="B565" t="inlineStr">
        <is>
          <t>samrådsanmälan</t>
        </is>
      </c>
      <c r="C565" t="inlineStr">
        <is>
          <t>Askåterföring</t>
        </is>
      </c>
      <c r="D565" s="1" t="n">
        <v>44806</v>
      </c>
      <c r="E565" s="1" t="n">
        <v>46321</v>
      </c>
      <c r="F565" t="inlineStr">
        <is>
          <t>SKÅNE LÄN</t>
        </is>
      </c>
      <c r="G565" t="inlineStr">
        <is>
          <t>OSBY</t>
        </is>
      </c>
      <c r="I565" t="n">
        <v>18.5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S 2068-2024</t>
        </is>
      </c>
      <c r="B566" t="inlineStr">
        <is>
          <t>samrådsanmälan</t>
        </is>
      </c>
      <c r="C566" t="inlineStr">
        <is>
          <t>Dikesrensning</t>
        </is>
      </c>
      <c r="D566" s="1" t="n">
        <v>45453</v>
      </c>
      <c r="E566" s="1" t="n">
        <v>46321</v>
      </c>
      <c r="F566" t="inlineStr">
        <is>
          <t>SKÅNE LÄN</t>
        </is>
      </c>
      <c r="G566" t="inlineStr">
        <is>
          <t>OSBY</t>
        </is>
      </c>
      <c r="I566" t="n">
        <v>1.4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S 263-2023</t>
        </is>
      </c>
      <c r="B567" t="inlineStr">
        <is>
          <t>samrådsanmälan</t>
        </is>
      </c>
      <c r="C567" t="inlineStr">
        <is>
          <t>Askåterföring</t>
        </is>
      </c>
      <c r="D567" s="1" t="n">
        <v>44952</v>
      </c>
      <c r="E567" s="1" t="n">
        <v>46321</v>
      </c>
      <c r="F567" t="inlineStr">
        <is>
          <t>SKÅNE LÄN</t>
        </is>
      </c>
      <c r="G567" t="inlineStr">
        <is>
          <t>OSBY</t>
        </is>
      </c>
      <c r="I567" t="n">
        <v>23.5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S 2418-2023</t>
        </is>
      </c>
      <c r="B568" t="inlineStr">
        <is>
          <t>samrådsanmälan</t>
        </is>
      </c>
      <c r="C568" t="inlineStr">
        <is>
          <t>Askåterföring</t>
        </is>
      </c>
      <c r="D568" s="1" t="n">
        <v>45124</v>
      </c>
      <c r="E568" s="1" t="n">
        <v>46321</v>
      </c>
      <c r="F568" t="inlineStr">
        <is>
          <t>SKÅNE LÄN</t>
        </is>
      </c>
      <c r="G568" t="inlineStr">
        <is>
          <t>OSBY</t>
        </is>
      </c>
      <c r="I568" t="n">
        <v>14.4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S 566-2024</t>
        </is>
      </c>
      <c r="B569" t="inlineStr">
        <is>
          <t>samrådsanmälan</t>
        </is>
      </c>
      <c r="C569" t="inlineStr">
        <is>
          <t>Askåterföring</t>
        </is>
      </c>
      <c r="D569" s="1" t="n">
        <v>45350</v>
      </c>
      <c r="E569" s="1" t="n">
        <v>46321</v>
      </c>
      <c r="F569" t="inlineStr">
        <is>
          <t>SKÅNE LÄN</t>
        </is>
      </c>
      <c r="G569" t="inlineStr">
        <is>
          <t>OSBY</t>
        </is>
      </c>
      <c r="I569" t="n">
        <v>17.2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S 798-2024</t>
        </is>
      </c>
      <c r="B570" t="inlineStr">
        <is>
          <t>samrådsanmälan</t>
        </is>
      </c>
      <c r="C570" t="inlineStr">
        <is>
          <t>Askåterföring</t>
        </is>
      </c>
      <c r="D570" s="1" t="n">
        <v>45370</v>
      </c>
      <c r="E570" s="1" t="n">
        <v>46321</v>
      </c>
      <c r="F570" t="inlineStr">
        <is>
          <t>SKÅNE LÄN</t>
        </is>
      </c>
      <c r="G570" t="inlineStr">
        <is>
          <t>OSBY</t>
        </is>
      </c>
      <c r="I570" t="n">
        <v>14.8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S 847-2024</t>
        </is>
      </c>
      <c r="B571" t="inlineStr">
        <is>
          <t>samrådsanmälan</t>
        </is>
      </c>
      <c r="C571" t="inlineStr">
        <is>
          <t>Askåterföring</t>
        </is>
      </c>
      <c r="D571" s="1" t="n">
        <v>45373</v>
      </c>
      <c r="E571" s="1" t="n">
        <v>46321</v>
      </c>
      <c r="F571" t="inlineStr">
        <is>
          <t>SKÅNE LÄN</t>
        </is>
      </c>
      <c r="G571" t="inlineStr">
        <is>
          <t>OSBY</t>
        </is>
      </c>
      <c r="I571" t="n">
        <v>11.9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S 4768-2022</t>
        </is>
      </c>
      <c r="B572" t="inlineStr">
        <is>
          <t>samrådsanmälan</t>
        </is>
      </c>
      <c r="C572" t="inlineStr">
        <is>
          <t>Askåterföring</t>
        </is>
      </c>
      <c r="D572" s="1" t="n">
        <v>44802</v>
      </c>
      <c r="E572" s="1" t="n">
        <v>46321</v>
      </c>
      <c r="F572" t="inlineStr">
        <is>
          <t>SKÅNE LÄN</t>
        </is>
      </c>
      <c r="G572" t="inlineStr">
        <is>
          <t>OSBY</t>
        </is>
      </c>
      <c r="I572" t="n">
        <v>15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S 976-2023</t>
        </is>
      </c>
      <c r="B573" t="inlineStr">
        <is>
          <t>samrådsanmälan</t>
        </is>
      </c>
      <c r="C573" t="inlineStr">
        <is>
          <t>Askåterföring</t>
        </is>
      </c>
      <c r="D573" s="1" t="n">
        <v>45005</v>
      </c>
      <c r="E573" s="1" t="n">
        <v>46321</v>
      </c>
      <c r="F573" t="inlineStr">
        <is>
          <t>SKÅNE LÄN</t>
        </is>
      </c>
      <c r="G573" t="inlineStr">
        <is>
          <t>OSBY</t>
        </is>
      </c>
      <c r="I573" t="n">
        <v>42.6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S 129-2023</t>
        </is>
      </c>
      <c r="B574" t="inlineStr">
        <is>
          <t>samrådsanmälan</t>
        </is>
      </c>
      <c r="C574" t="inlineStr">
        <is>
          <t>Askåterföring</t>
        </is>
      </c>
      <c r="D574" s="1" t="n">
        <v>44938</v>
      </c>
      <c r="E574" s="1" t="n">
        <v>46321</v>
      </c>
      <c r="F574" t="inlineStr">
        <is>
          <t>SKÅNE LÄN</t>
        </is>
      </c>
      <c r="G574" t="inlineStr">
        <is>
          <t>OSBY</t>
        </is>
      </c>
      <c r="I574" t="n">
        <v>29.6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S 3280-2023</t>
        </is>
      </c>
      <c r="B575" t="inlineStr">
        <is>
          <t>samrådsanmälan</t>
        </is>
      </c>
      <c r="C575" t="inlineStr">
        <is>
          <t>Askåterföring</t>
        </is>
      </c>
      <c r="D575" s="1" t="n">
        <v>45194</v>
      </c>
      <c r="E575" s="1" t="n">
        <v>46321</v>
      </c>
      <c r="F575" t="inlineStr">
        <is>
          <t>SKÅNE LÄN</t>
        </is>
      </c>
      <c r="G575" t="inlineStr">
        <is>
          <t>OSBY</t>
        </is>
      </c>
      <c r="I575" t="n">
        <v>14.8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S 4864-2022</t>
        </is>
      </c>
      <c r="B576" t="inlineStr">
        <is>
          <t>samrådsanmälan</t>
        </is>
      </c>
      <c r="C576" t="inlineStr">
        <is>
          <t>Askåterföring</t>
        </is>
      </c>
      <c r="D576" s="1" t="n">
        <v>44805</v>
      </c>
      <c r="E576" s="1" t="n">
        <v>46321</v>
      </c>
      <c r="F576" t="inlineStr">
        <is>
          <t>SKÅNE LÄN</t>
        </is>
      </c>
      <c r="G576" t="inlineStr">
        <is>
          <t>OSBY</t>
        </is>
      </c>
      <c r="I576" t="n">
        <v>22.1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S 6862-2022</t>
        </is>
      </c>
      <c r="B577" t="inlineStr">
        <is>
          <t>samrådsanmälan</t>
        </is>
      </c>
      <c r="C577" t="inlineStr">
        <is>
          <t>Askåterföring</t>
        </is>
      </c>
      <c r="D577" s="1" t="n">
        <v>44896</v>
      </c>
      <c r="E577" s="1" t="n">
        <v>46321</v>
      </c>
      <c r="F577" t="inlineStr">
        <is>
          <t>SKÅNE LÄN</t>
        </is>
      </c>
      <c r="G577" t="inlineStr">
        <is>
          <t>OSBY</t>
        </is>
      </c>
      <c r="I577" t="n">
        <v>4.6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S 5175-2024</t>
        </is>
      </c>
      <c r="B578" t="inlineStr">
        <is>
          <t>samrådsanmälan</t>
        </is>
      </c>
      <c r="C578" t="inlineStr">
        <is>
          <t>Annan skogsbruksåtgärd</t>
        </is>
      </c>
      <c r="D578" s="1" t="n">
        <v>45652</v>
      </c>
      <c r="E578" s="1" t="n">
        <v>46321</v>
      </c>
      <c r="F578" t="inlineStr">
        <is>
          <t>SKÅNE LÄN</t>
        </is>
      </c>
      <c r="G578" t="inlineStr">
        <is>
          <t>OSBY</t>
        </is>
      </c>
      <c r="I578" t="n">
        <v>4.4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S 884-2025</t>
        </is>
      </c>
      <c r="B579" t="inlineStr">
        <is>
          <t>samrådsanmälan</t>
        </is>
      </c>
      <c r="C579" t="inlineStr">
        <is>
          <t>Askåterföring</t>
        </is>
      </c>
      <c r="D579" s="1" t="n">
        <v>45735</v>
      </c>
      <c r="E579" s="1" t="n">
        <v>46321</v>
      </c>
      <c r="F579" t="inlineStr">
        <is>
          <t>SKÅNE LÄN</t>
        </is>
      </c>
      <c r="G579" t="inlineStr">
        <is>
          <t>OSBY</t>
        </is>
      </c>
      <c r="I579" t="n">
        <v>12.6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S 910-2025</t>
        </is>
      </c>
      <c r="B580" t="inlineStr">
        <is>
          <t>samrådsanmälan</t>
        </is>
      </c>
      <c r="C580" t="inlineStr">
        <is>
          <t>Annan skogsbruksåtgärd</t>
        </is>
      </c>
      <c r="D580" s="1" t="n">
        <v>45737</v>
      </c>
      <c r="E580" s="1" t="n">
        <v>46321</v>
      </c>
      <c r="F580" t="inlineStr">
        <is>
          <t>SKÅNE LÄN</t>
        </is>
      </c>
      <c r="G580" t="inlineStr">
        <is>
          <t>OSBY</t>
        </is>
      </c>
      <c r="I580" t="n">
        <v>5.6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S 2812-2025</t>
        </is>
      </c>
      <c r="B581" t="inlineStr">
        <is>
          <t>samrådsanmälan</t>
        </is>
      </c>
      <c r="C581" t="inlineStr">
        <is>
          <t>Askåterföring</t>
        </is>
      </c>
      <c r="D581" s="1" t="n">
        <v>45939</v>
      </c>
      <c r="E581" s="1" t="n">
        <v>46321</v>
      </c>
      <c r="F581" t="inlineStr">
        <is>
          <t>SKÅNE LÄN</t>
        </is>
      </c>
      <c r="G581" t="inlineStr">
        <is>
          <t>OSBY</t>
        </is>
      </c>
      <c r="I581" t="n">
        <v>10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S 2813-2025</t>
        </is>
      </c>
      <c r="B582" t="inlineStr">
        <is>
          <t>samrådsanmälan</t>
        </is>
      </c>
      <c r="C582" t="inlineStr">
        <is>
          <t>Askåterföring</t>
        </is>
      </c>
      <c r="D582" s="1" t="n">
        <v>45939</v>
      </c>
      <c r="E582" s="1" t="n">
        <v>46321</v>
      </c>
      <c r="F582" t="inlineStr">
        <is>
          <t>SKÅNE LÄN</t>
        </is>
      </c>
      <c r="G582" t="inlineStr">
        <is>
          <t>OSBY</t>
        </is>
      </c>
      <c r="I582" t="n">
        <v>10.9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S 3221-2025</t>
        </is>
      </c>
      <c r="B583" t="inlineStr">
        <is>
          <t>samrådsanmälan</t>
        </is>
      </c>
      <c r="C583" t="inlineStr">
        <is>
          <t>Askåterföring</t>
        </is>
      </c>
      <c r="D583" s="1" t="n">
        <v>45980</v>
      </c>
      <c r="E583" s="1" t="n">
        <v>46321</v>
      </c>
      <c r="F583" t="inlineStr">
        <is>
          <t>SKÅNE LÄN</t>
        </is>
      </c>
      <c r="G583" t="inlineStr">
        <is>
          <t>OSBY</t>
        </is>
      </c>
      <c r="I583" t="n">
        <v>4.1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S 25-2026</t>
        </is>
      </c>
      <c r="B584" t="inlineStr">
        <is>
          <t>samrådsanmälan</t>
        </is>
      </c>
      <c r="C584" t="inlineStr">
        <is>
          <t>Askåterföring</t>
        </is>
      </c>
      <c r="D584" s="1" t="n">
        <v>46030</v>
      </c>
      <c r="E584" s="1" t="n">
        <v>46321</v>
      </c>
      <c r="F584" t="inlineStr">
        <is>
          <t>SKÅNE LÄN</t>
        </is>
      </c>
      <c r="G584" t="inlineStr">
        <is>
          <t>OSBY</t>
        </is>
      </c>
      <c r="I584" t="n">
        <v>11.5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S 222-2026</t>
        </is>
      </c>
      <c r="B585" t="inlineStr">
        <is>
          <t>samrådsanmälan</t>
        </is>
      </c>
      <c r="C585" t="inlineStr">
        <is>
          <t>Askåterföring</t>
        </is>
      </c>
      <c r="D585" s="1" t="n">
        <v>46049</v>
      </c>
      <c r="E585" s="1" t="n">
        <v>46321</v>
      </c>
      <c r="F585" t="inlineStr">
        <is>
          <t>SKÅNE LÄN</t>
        </is>
      </c>
      <c r="G585" t="inlineStr">
        <is>
          <t>OSBY</t>
        </is>
      </c>
      <c r="I585" t="n">
        <v>26.8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S 815-2026</t>
        </is>
      </c>
      <c r="B586" t="inlineStr">
        <is>
          <t>samrådsanmälan</t>
        </is>
      </c>
      <c r="C586" t="inlineStr">
        <is>
          <t>Askåterföring</t>
        </is>
      </c>
      <c r="D586" s="1" t="n">
        <v>46104</v>
      </c>
      <c r="E586" s="1" t="n">
        <v>46321</v>
      </c>
      <c r="F586" t="inlineStr">
        <is>
          <t>SKÅNE LÄN</t>
        </is>
      </c>
      <c r="G586" t="inlineStr">
        <is>
          <t>OSBY</t>
        </is>
      </c>
      <c r="I586" t="n">
        <v>6.6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S 1131-2026</t>
        </is>
      </c>
      <c r="B587" t="inlineStr">
        <is>
          <t>samrådsanmälan</t>
        </is>
      </c>
      <c r="C587" t="inlineStr">
        <is>
          <t>Askåterföring</t>
        </is>
      </c>
      <c r="D587" s="1" t="n">
        <v>46134</v>
      </c>
      <c r="E587" s="1" t="n">
        <v>46321</v>
      </c>
      <c r="F587" t="inlineStr">
        <is>
          <t>SKÅNE LÄN</t>
        </is>
      </c>
      <c r="G587" t="inlineStr">
        <is>
          <t>OSBY</t>
        </is>
      </c>
      <c r="I587" t="n">
        <v>11.5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>
      <c r="A588" t="inlineStr">
        <is>
          <t>S 1126-2026</t>
        </is>
      </c>
      <c r="B588" t="inlineStr">
        <is>
          <t>samrådsanmälan</t>
        </is>
      </c>
      <c r="C588" t="inlineStr">
        <is>
          <t>Askåterföring</t>
        </is>
      </c>
      <c r="D588" s="1" t="n">
        <v>46134</v>
      </c>
      <c r="E588" s="1" t="n">
        <v>46321</v>
      </c>
      <c r="F588" t="inlineStr">
        <is>
          <t>SKÅNE LÄN</t>
        </is>
      </c>
      <c r="G588" t="inlineStr">
        <is>
          <t>OSBY</t>
        </is>
      </c>
      <c r="I588" t="n">
        <v>11.6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2026-10-26T03:07:47Z</dcterms:created>
  <dcterms:modified xmlns:dcterms="http://purl.org/dc/terms/" xmlns:xsi="http://www.w3.org/2001/XMLSchema-instance" xsi:type="dcterms:W3CDTF">2026-10-26T03:07:48Z</dcterms:modified>
</cp:coreProperties>
</file>