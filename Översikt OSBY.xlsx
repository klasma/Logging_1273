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46286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46286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46286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46286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46286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46286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46286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22036-2026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46286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5.4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Entita
Spillkråka</t>
        </is>
      </c>
      <c r="W16">
        <f>HYPERLINK("https://klasma.github.io/Logging_1273/artfynd/A 22036-2026 artfynd.xlsx", "A 22036-2026")</f>
        <v/>
      </c>
      <c r="X16">
        <f>HYPERLINK("https://klasma.github.io/Logging_1273/kartor/A 22036-2026 karta.png", "A 22036-2026")</f>
        <v/>
      </c>
      <c r="Y16">
        <f>HYPERLINK("https://klasma.github.io/Logging_1273/kartor_geotiff/A 22036-2026 georefererad karta.tif", "A 22036-2026")</f>
        <v/>
      </c>
      <c r="AA16">
        <f>HYPERLINK("https://klasma.github.io/Logging_1273/klagomål/A 22036-2026 FSC-klagomål.docx", "A 22036-2026")</f>
        <v/>
      </c>
      <c r="AB16">
        <f>HYPERLINK("https://klasma.github.io/Logging_1273/klagomålsmail/A 22036-2026 FSC-klagomål mail.docx", "A 22036-2026")</f>
        <v/>
      </c>
      <c r="AC16">
        <f>HYPERLINK("https://klasma.github.io/Logging_1273/tillsyn/A 22036-2026 tillsynsbegäran.docx", "A 22036-2026")</f>
        <v/>
      </c>
      <c r="AD16">
        <f>HYPERLINK("https://klasma.github.io/Logging_1273/tillsynsmail/A 22036-2026 tillsynsbegäran mail.docx", "A 22036-2026")</f>
        <v/>
      </c>
      <c r="AE16">
        <f>HYPERLINK("https://klasma.github.io/Logging_1273/fåglar/A 22036-2026 prioriterade fågelarter.docx", "A 22036-2026")</f>
        <v/>
      </c>
    </row>
    <row r="17" ht="15" customHeight="1">
      <c r="A17" t="inlineStr">
        <is>
          <t>A 23811-2023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46286</v>
      </c>
      <c r="F17" t="inlineStr">
        <is>
          <t>SKÅNE LÄN</t>
        </is>
      </c>
      <c r="G17" t="inlineStr">
        <is>
          <t>OSBY</t>
        </is>
      </c>
      <c r="I17" t="n">
        <v>1.7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Sjötåtel
Borsttåg</t>
        </is>
      </c>
      <c r="W17">
        <f>HYPERLINK("https://klasma.github.io/Logging_1273/artfynd/A 23811-2023 artfynd.xlsx", "A 23811-2023")</f>
        <v/>
      </c>
      <c r="X17">
        <f>HYPERLINK("https://klasma.github.io/Logging_1273/kartor/A 23811-2023 karta.png", "A 23811-2023")</f>
        <v/>
      </c>
      <c r="Y17">
        <f>HYPERLINK("https://klasma.github.io/Logging_1273/kartor_geotiff/A 23811-2023 georefererad karta.tif", "A 23811-2023")</f>
        <v/>
      </c>
      <c r="AA17">
        <f>HYPERLINK("https://klasma.github.io/Logging_1273/klagomål/A 23811-2023 FSC-klagomål.docx", "A 23811-2023")</f>
        <v/>
      </c>
      <c r="AB17">
        <f>HYPERLINK("https://klasma.github.io/Logging_1273/klagomålsmail/A 23811-2023 FSC-klagomål mail.docx", "A 23811-2023")</f>
        <v/>
      </c>
      <c r="AC17">
        <f>HYPERLINK("https://klasma.github.io/Logging_1273/tillsyn/A 23811-2023 tillsynsbegäran.docx", "A 23811-2023")</f>
        <v/>
      </c>
      <c r="AD17">
        <f>HYPERLINK("https://klasma.github.io/Logging_1273/tillsynsmail/A 23811-2023 tillsynsbegäran mail.docx", "A 23811-2023")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46286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46286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46286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46286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46286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46286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46286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46286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51353-2021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44461</v>
      </c>
      <c r="E27" s="1" t="n">
        <v>46286</v>
      </c>
      <c r="F27" t="inlineStr">
        <is>
          <t>SKÅNE LÄN</t>
        </is>
      </c>
      <c r="G27" t="inlineStr">
        <is>
          <t>OSBY</t>
        </is>
      </c>
      <c r="I27" t="n">
        <v>0.6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HYPERLINK("https://klasma.github.io/Logging_1273/artfynd/A 51353-2021 artfynd.xlsx", "A 51353-2021")</f>
        <v/>
      </c>
      <c r="X27">
        <f>HYPERLINK("https://klasma.github.io/Logging_1273/kartor/A 51353-2021 karta.png", "A 51353-2021")</f>
        <v/>
      </c>
      <c r="Y27">
        <f>HYPERLINK("https://klasma.github.io/Logging_1273/kartor_geotiff/A 51353-2021 georefererad karta.tif", "A 51353-2021")</f>
        <v/>
      </c>
      <c r="AA27">
        <f>HYPERLINK("https://klasma.github.io/Logging_1273/klagomål/A 51353-2021 FSC-klagomål.docx", "A 51353-2021")</f>
        <v/>
      </c>
      <c r="AB27">
        <f>HYPERLINK("https://klasma.github.io/Logging_1273/klagomålsmail/A 51353-2021 FSC-klagomål mail.docx", "A 51353-2021")</f>
        <v/>
      </c>
      <c r="AC27">
        <f>HYPERLINK("https://klasma.github.io/Logging_1273/tillsyn/A 51353-2021 tillsynsbegäran.docx", "A 51353-2021")</f>
        <v/>
      </c>
      <c r="AD27">
        <f>HYPERLINK("https://klasma.github.io/Logging_1273/tillsynsmail/A 51353-2021 tillsynsbegäran mail.docx", "A 51353-2021")</f>
        <v/>
      </c>
      <c r="AE27">
        <f>HYPERLINK("https://klasma.github.io/Logging_1273/fåglar/A 51353-2021 prioriterade fågelarter.docx", "A 51353-2021")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46286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46286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46286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45177</v>
      </c>
      <c r="E31" s="1" t="n">
        <v>46286</v>
      </c>
      <c r="F31" t="inlineStr">
        <is>
          <t>SKÅNE LÄN</t>
        </is>
      </c>
      <c r="G31" t="inlineStr">
        <is>
          <t>OSBY</t>
        </is>
      </c>
      <c r="H31" t="inlineStr">
        <is>
          <t>Kommuner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HYPERLINK("https://klasma.github.io/Logging_1273/artfynd/A 42027-2023 artfynd.xlsx", "A 42027-2023")</f>
        <v/>
      </c>
      <c r="X31">
        <f>HYPERLINK("https://klasma.github.io/Logging_1273/kartor/A 42027-2023 karta.png", "A 42027-2023")</f>
        <v/>
      </c>
      <c r="Y31">
        <f>HYPERLINK("https://klasma.github.io/Logging_1273/kartor_geotiff/A 42027-2023 georefererad karta.tif", "A 42027-2023")</f>
        <v/>
      </c>
      <c r="AA31">
        <f>HYPERLINK("https://klasma.github.io/Logging_1273/klagomål/A 42027-2023 FSC-klagomål.docx", "A 42027-2023")</f>
        <v/>
      </c>
      <c r="AB31">
        <f>HYPERLINK("https://klasma.github.io/Logging_1273/klagomålsmail/A 42027-2023 FSC-klagomål mail.docx", "A 42027-2023")</f>
        <v/>
      </c>
      <c r="AC31">
        <f>HYPERLINK("https://klasma.github.io/Logging_1273/tillsyn/A 42027-2023 tillsynsbegäran.docx", "A 42027-2023")</f>
        <v/>
      </c>
      <c r="AD31">
        <f>HYPERLINK("https://klasma.github.io/Logging_1273/tillsynsmail/A 42027-2023 tillsynsbegäran mail.docx", "A 42027-2023")</f>
        <v/>
      </c>
    </row>
    <row r="32" ht="15" customHeight="1">
      <c r="A32" t="inlineStr">
        <is>
          <t>A 16837-2023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45033</v>
      </c>
      <c r="E32" s="1" t="n">
        <v>46286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HYPERLINK("https://klasma.github.io/Logging_1273/artfynd/A 16837-2023 artfynd.xlsx", "A 16837-2023")</f>
        <v/>
      </c>
      <c r="X32">
        <f>HYPERLINK("https://klasma.github.io/Logging_1273/kartor/A 16837-2023 karta.png", "A 16837-2023")</f>
        <v/>
      </c>
      <c r="Y32">
        <f>HYPERLINK("https://klasma.github.io/Logging_1273/kartor_geotiff/A 16837-2023 georefererad karta.tif", "A 16837-2023")</f>
        <v/>
      </c>
      <c r="AA32">
        <f>HYPERLINK("https://klasma.github.io/Logging_1273/klagomål/A 16837-2023 FSC-klagomål.docx", "A 16837-2023")</f>
        <v/>
      </c>
      <c r="AB32">
        <f>HYPERLINK("https://klasma.github.io/Logging_1273/klagomålsmail/A 16837-2023 FSC-klagomål mail.docx", "A 16837-2023")</f>
        <v/>
      </c>
      <c r="AC32">
        <f>HYPERLINK("https://klasma.github.io/Logging_1273/tillsyn/A 16837-2023 tillsynsbegäran.docx", "A 16837-2023")</f>
        <v/>
      </c>
      <c r="AD32">
        <f>HYPERLINK("https://klasma.github.io/Logging_1273/tillsynsmail/A 16837-2023 tillsynsbegäran mail.docx", "A 16837-2023")</f>
        <v/>
      </c>
      <c r="AE32">
        <f>HYPERLINK("https://klasma.github.io/Logging_1273/fåglar/A 16837-2023 prioriterade fågelarter.docx", "A 16837-2023")</f>
        <v/>
      </c>
    </row>
    <row r="33" ht="15" customHeight="1">
      <c r="A33" t="inlineStr">
        <is>
          <t>A 50741-2023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46286</v>
      </c>
      <c r="F33" t="inlineStr">
        <is>
          <t>SKÅNE LÄN</t>
        </is>
      </c>
      <c r="G33" t="inlineStr">
        <is>
          <t>OSBY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HYPERLINK("https://klasma.github.io/Logging_1273/artfynd/A 50741-2023 artfynd.xlsx", "A 50741-2023")</f>
        <v/>
      </c>
      <c r="X33">
        <f>HYPERLINK("https://klasma.github.io/Logging_1273/kartor/A 50741-2023 karta.png", "A 50741-2023")</f>
        <v/>
      </c>
      <c r="Y33">
        <f>HYPERLINK("https://klasma.github.io/Logging_1273/kartor_geotiff/A 50741-2023 georefererad karta.tif", "A 50741-2023")</f>
        <v/>
      </c>
      <c r="AA33">
        <f>HYPERLINK("https://klasma.github.io/Logging_1273/klagomål/A 50741-2023 FSC-klagomål.docx", "A 50741-2023")</f>
        <v/>
      </c>
      <c r="AB33">
        <f>HYPERLINK("https://klasma.github.io/Logging_1273/klagomålsmail/A 50741-2023 FSC-klagomål mail.docx", "A 50741-2023")</f>
        <v/>
      </c>
      <c r="AC33">
        <f>HYPERLINK("https://klasma.github.io/Logging_1273/tillsyn/A 50741-2023 tillsynsbegäran.docx", "A 50741-2023")</f>
        <v/>
      </c>
      <c r="AD33">
        <f>HYPERLINK("https://klasma.github.io/Logging_1273/tillsynsmail/A 50741-2023 tillsynsbegäran mail.docx", "A 50741-2023")</f>
        <v/>
      </c>
    </row>
    <row r="34" ht="15" customHeight="1">
      <c r="A34" t="inlineStr">
        <is>
          <t>A 24720-2025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46286</v>
      </c>
      <c r="F34" t="inlineStr">
        <is>
          <t>SKÅNE LÄN</t>
        </is>
      </c>
      <c r="G34" t="inlineStr">
        <is>
          <t>OSBY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HYPERLINK("https://klasma.github.io/Logging_1273/artfynd/A 24720-2025 artfynd.xlsx", "A 24720-2025")</f>
        <v/>
      </c>
      <c r="X34">
        <f>HYPERLINK("https://klasma.github.io/Logging_1273/kartor/A 24720-2025 karta.png", "A 24720-2025")</f>
        <v/>
      </c>
      <c r="Y34">
        <f>HYPERLINK("https://klasma.github.io/Logging_1273/kartor_geotiff/A 24720-2025 georefererad karta.tif", "A 24720-2025")</f>
        <v/>
      </c>
      <c r="AA34">
        <f>HYPERLINK("https://klasma.github.io/Logging_1273/klagomål/A 24720-2025 FSC-klagomål.docx", "A 24720-2025")</f>
        <v/>
      </c>
      <c r="AB34">
        <f>HYPERLINK("https://klasma.github.io/Logging_1273/klagomålsmail/A 24720-2025 FSC-klagomål mail.docx", "A 24720-2025")</f>
        <v/>
      </c>
      <c r="AC34">
        <f>HYPERLINK("https://klasma.github.io/Logging_1273/tillsyn/A 24720-2025 tillsynsbegäran.docx", "A 24720-2025")</f>
        <v/>
      </c>
      <c r="AD34">
        <f>HYPERLINK("https://klasma.github.io/Logging_1273/tillsynsmail/A 24720-2025 tillsynsbegäran mail.docx", "A 24720-2025")</f>
        <v/>
      </c>
    </row>
    <row r="35" ht="15" customHeight="1">
      <c r="A35" t="inlineStr">
        <is>
          <t>A 42610-2025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46286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Havstulpanlav</t>
        </is>
      </c>
      <c r="W35">
        <f>HYPERLINK("https://klasma.github.io/Logging_1273/artfynd/A 42610-2025 artfynd.xlsx", "A 42610-2025")</f>
        <v/>
      </c>
      <c r="X35">
        <f>HYPERLINK("https://klasma.github.io/Logging_1273/kartor/A 42610-2025 karta.png", "A 42610-2025")</f>
        <v/>
      </c>
      <c r="Y35">
        <f>HYPERLINK("https://klasma.github.io/Logging_1273/kartor_geotiff/A 42610-2025 georefererad karta.tif", "A 42610-2025")</f>
        <v/>
      </c>
      <c r="AA35">
        <f>HYPERLINK("https://klasma.github.io/Logging_1273/klagomål/A 42610-2025 FSC-klagomål.docx", "A 42610-2025")</f>
        <v/>
      </c>
      <c r="AB35">
        <f>HYPERLINK("https://klasma.github.io/Logging_1273/klagomålsmail/A 42610-2025 FSC-klagomål mail.docx", "A 42610-2025")</f>
        <v/>
      </c>
      <c r="AC35">
        <f>HYPERLINK("https://klasma.github.io/Logging_1273/tillsyn/A 42610-2025 tillsynsbegäran.docx", "A 42610-2025")</f>
        <v/>
      </c>
      <c r="AD35">
        <f>HYPERLINK("https://klasma.github.io/Logging_1273/tillsynsmail/A 42610-2025 tillsynsbegäran mail.docx", "A 42610-2025")</f>
        <v/>
      </c>
    </row>
    <row r="36" ht="15" customHeight="1">
      <c r="A36" t="inlineStr">
        <is>
          <t>A 43095-2025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46286</v>
      </c>
      <c r="F36" t="inlineStr">
        <is>
          <t>SKÅNE LÄN</t>
        </is>
      </c>
      <c r="G36" t="inlineStr">
        <is>
          <t>OSBY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HYPERLINK("https://klasma.github.io/Logging_1273/artfynd/A 43095-2025 artfynd.xlsx", "A 43095-2025")</f>
        <v/>
      </c>
      <c r="X36">
        <f>HYPERLINK("https://klasma.github.io/Logging_1273/kartor/A 43095-2025 karta.png", "A 43095-2025")</f>
        <v/>
      </c>
      <c r="Y36">
        <f>HYPERLINK("https://klasma.github.io/Logging_1273/kartor_geotiff/A 43095-2025 georefererad karta.tif", "A 43095-2025")</f>
        <v/>
      </c>
      <c r="AA36">
        <f>HYPERLINK("https://klasma.github.io/Logging_1273/klagomål/A 43095-2025 FSC-klagomål.docx", "A 43095-2025")</f>
        <v/>
      </c>
      <c r="AB36">
        <f>HYPERLINK("https://klasma.github.io/Logging_1273/klagomålsmail/A 43095-2025 FSC-klagomål mail.docx", "A 43095-2025")</f>
        <v/>
      </c>
      <c r="AC36">
        <f>HYPERLINK("https://klasma.github.io/Logging_1273/tillsyn/A 43095-2025 tillsynsbegäran.docx", "A 43095-2025")</f>
        <v/>
      </c>
      <c r="AD36">
        <f>HYPERLINK("https://klasma.github.io/Logging_1273/tillsynsmail/A 43095-2025 tillsynsbegäran mail.docx", "A 43095-2025")</f>
        <v/>
      </c>
    </row>
    <row r="37" ht="15" customHeight="1">
      <c r="A37" t="inlineStr">
        <is>
          <t>A 46477-2025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45925</v>
      </c>
      <c r="E37" s="1" t="n">
        <v>46286</v>
      </c>
      <c r="F37" t="inlineStr">
        <is>
          <t>SKÅNE LÄN</t>
        </is>
      </c>
      <c r="G37" t="inlineStr">
        <is>
          <t>OSBY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HYPERLINK("https://klasma.github.io/Logging_1273/artfynd/A 46477-2025 artfynd.xlsx", "A 46477-2025")</f>
        <v/>
      </c>
      <c r="X37">
        <f>HYPERLINK("https://klasma.github.io/Logging_1273/kartor/A 46477-2025 karta.png", "A 46477-2025")</f>
        <v/>
      </c>
      <c r="Y37">
        <f>HYPERLINK("https://klasma.github.io/Logging_1273/kartor_geotiff/A 46477-2025 georefererad karta.tif", "A 46477-2025")</f>
        <v/>
      </c>
      <c r="AA37">
        <f>HYPERLINK("https://klasma.github.io/Logging_1273/klagomål/A 46477-2025 FSC-klagomål.docx", "A 46477-2025")</f>
        <v/>
      </c>
      <c r="AB37">
        <f>HYPERLINK("https://klasma.github.io/Logging_1273/klagomålsmail/A 46477-2025 FSC-klagomål mail.docx", "A 46477-2025")</f>
        <v/>
      </c>
      <c r="AC37">
        <f>HYPERLINK("https://klasma.github.io/Logging_1273/tillsyn/A 46477-2025 tillsynsbegäran.docx", "A 46477-2025")</f>
        <v/>
      </c>
      <c r="AD37">
        <f>HYPERLINK("https://klasma.github.io/Logging_1273/tillsynsmail/A 46477-2025 tillsynsbegäran mail.docx", "A 46477-2025")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46286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46286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46286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46286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10056-2024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45364</v>
      </c>
      <c r="E42" s="1" t="n">
        <v>46286</v>
      </c>
      <c r="F42" t="inlineStr">
        <is>
          <t>SKÅNE LÄN</t>
        </is>
      </c>
      <c r="G42" t="inlineStr">
        <is>
          <t>OSBY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Grönvit nattviol</t>
        </is>
      </c>
      <c r="W42">
        <f>HYPERLINK("https://klasma.github.io/Logging_1273/artfynd/A 10056-2024 artfynd.xlsx", "A 10056-2024")</f>
        <v/>
      </c>
      <c r="X42">
        <f>HYPERLINK("https://klasma.github.io/Logging_1273/kartor/A 10056-2024 karta.png", "A 10056-2024")</f>
        <v/>
      </c>
      <c r="Y42">
        <f>HYPERLINK("https://klasma.github.io/Logging_1273/kartor_geotiff/A 10056-2024 georefererad karta.tif", "A 10056-2024")</f>
        <v/>
      </c>
      <c r="AA42">
        <f>HYPERLINK("https://klasma.github.io/Logging_1273/klagomål/A 10056-2024 FSC-klagomål.docx", "A 10056-2024")</f>
        <v/>
      </c>
      <c r="AB42">
        <f>HYPERLINK("https://klasma.github.io/Logging_1273/klagomålsmail/A 10056-2024 FSC-klagomål mail.docx", "A 10056-2024")</f>
        <v/>
      </c>
      <c r="AC42">
        <f>HYPERLINK("https://klasma.github.io/Logging_1273/tillsyn/A 10056-2024 tillsynsbegäran.docx", "A 10056-2024")</f>
        <v/>
      </c>
      <c r="AD42">
        <f>HYPERLINK("https://klasma.github.io/Logging_1273/tillsynsmail/A 10056-2024 tillsynsbegäran mail.docx", "A 10056-2024")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46286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46286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46286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46286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46286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46286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46286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46286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46286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A 58641-2022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44902</v>
      </c>
      <c r="E52" s="1" t="n">
        <v>46286</v>
      </c>
      <c r="F52" t="inlineStr">
        <is>
          <t>SKÅNE LÄN</t>
        </is>
      </c>
      <c r="G52" t="inlineStr">
        <is>
          <t>OSBY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Ask</t>
        </is>
      </c>
      <c r="W52">
        <f>HYPERLINK("https://klasma.github.io/Logging_1273/artfynd/A 58641-2022 artfynd.xlsx", "A 58641-2022")</f>
        <v/>
      </c>
      <c r="X52">
        <f>HYPERLINK("https://klasma.github.io/Logging_1273/kartor/A 58641-2022 karta.png", "A 58641-2022")</f>
        <v/>
      </c>
      <c r="Y52">
        <f>HYPERLINK("https://klasma.github.io/Logging_1273/kartor_geotiff/A 58641-2022 georefererad karta.tif", "A 58641-2022")</f>
        <v/>
      </c>
      <c r="AA52">
        <f>HYPERLINK("https://klasma.github.io/Logging_1273/klagomål/A 58641-2022 FSC-klagomål.docx", "A 58641-2022")</f>
        <v/>
      </c>
      <c r="AB52">
        <f>HYPERLINK("https://klasma.github.io/Logging_1273/klagomålsmail/A 58641-2022 FSC-klagomål mail.docx", "A 58641-2022")</f>
        <v/>
      </c>
      <c r="AC52">
        <f>HYPERLINK("https://klasma.github.io/Logging_1273/tillsyn/A 58641-2022 tillsynsbegäran.docx", "A 58641-2022")</f>
        <v/>
      </c>
      <c r="AD52">
        <f>HYPERLINK("https://klasma.github.io/Logging_1273/tillsynsmail/A 58641-2022 tillsynsbegäran mail.docx", "A 58641-2022")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46286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46286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46286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46286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46286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46286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46286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44553</v>
      </c>
      <c r="E60" s="1" t="n">
        <v>46286</v>
      </c>
      <c r="F60" t="inlineStr">
        <is>
          <t>SKÅNE LÄN</t>
        </is>
      </c>
      <c r="G60" t="inlineStr">
        <is>
          <t>OSBY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46286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46286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46286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46286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46286</v>
      </c>
      <c r="F65" t="inlineStr">
        <is>
          <t>SKÅNE LÄN</t>
        </is>
      </c>
      <c r="G65" t="inlineStr">
        <is>
          <t>OSBY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46286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46286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46286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46286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46286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46286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46286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46286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46286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46286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46286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46286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46286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46286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46286</v>
      </c>
      <c r="F80" t="inlineStr">
        <is>
          <t>SKÅNE LÄN</t>
        </is>
      </c>
      <c r="G80" t="inlineStr">
        <is>
          <t>OSBY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46286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46286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46286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44764</v>
      </c>
      <c r="E84" s="1" t="n">
        <v>46286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46286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46286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46286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46286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46286</v>
      </c>
      <c r="F89" t="inlineStr">
        <is>
          <t>SKÅNE LÄN</t>
        </is>
      </c>
      <c r="G89" t="inlineStr">
        <is>
          <t>OSBY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46286</v>
      </c>
      <c r="F90" t="inlineStr">
        <is>
          <t>SKÅNE LÄN</t>
        </is>
      </c>
      <c r="G90" t="inlineStr">
        <is>
          <t>OSBY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46286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46286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46286</v>
      </c>
      <c r="F93" t="inlineStr">
        <is>
          <t>SKÅNE LÄN</t>
        </is>
      </c>
      <c r="G93" t="inlineStr">
        <is>
          <t>OSBY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46286</v>
      </c>
      <c r="F94" t="inlineStr">
        <is>
          <t>SKÅNE LÄN</t>
        </is>
      </c>
      <c r="G94" t="inlineStr">
        <is>
          <t>OSBY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44505</v>
      </c>
      <c r="E95" s="1" t="n">
        <v>46286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46286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50396-2021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44459</v>
      </c>
      <c r="E97" s="1" t="n">
        <v>46286</v>
      </c>
      <c r="F97" t="inlineStr">
        <is>
          <t>SKÅNE LÄN</t>
        </is>
      </c>
      <c r="G97" t="inlineStr">
        <is>
          <t>OSBY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46286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46286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46286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46286</v>
      </c>
      <c r="F101" t="inlineStr">
        <is>
          <t>SKÅNE LÄN</t>
        </is>
      </c>
      <c r="G101" t="inlineStr">
        <is>
          <t>OSBY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44843</v>
      </c>
      <c r="E102" s="1" t="n">
        <v>46286</v>
      </c>
      <c r="F102" t="inlineStr">
        <is>
          <t>SKÅNE LÄN</t>
        </is>
      </c>
      <c r="G102" t="inlineStr">
        <is>
          <t>OSBY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46286</v>
      </c>
      <c r="F103" t="inlineStr">
        <is>
          <t>SKÅNE LÄN</t>
        </is>
      </c>
      <c r="G103" t="inlineStr">
        <is>
          <t>OSBY</t>
        </is>
      </c>
      <c r="H103" t="inlineStr">
        <is>
          <t>Kyrkan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46286</v>
      </c>
      <c r="F104" t="inlineStr">
        <is>
          <t>SKÅNE LÄN</t>
        </is>
      </c>
      <c r="G104" t="inlineStr">
        <is>
          <t>OSBY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46286</v>
      </c>
      <c r="F105" t="inlineStr">
        <is>
          <t>SKÅNE LÄN</t>
        </is>
      </c>
      <c r="G105" t="inlineStr">
        <is>
          <t>OSBY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46286</v>
      </c>
      <c r="F106" t="inlineStr">
        <is>
          <t>SKÅNE LÄN</t>
        </is>
      </c>
      <c r="G106" t="inlineStr">
        <is>
          <t>OSBY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46286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46286</v>
      </c>
      <c r="F108" t="inlineStr">
        <is>
          <t>SKÅNE LÄN</t>
        </is>
      </c>
      <c r="G108" t="inlineStr">
        <is>
          <t>OSBY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46286</v>
      </c>
      <c r="F109" t="inlineStr">
        <is>
          <t>SKÅNE LÄN</t>
        </is>
      </c>
      <c r="G109" t="inlineStr">
        <is>
          <t>OSBY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46286</v>
      </c>
      <c r="F110" t="inlineStr">
        <is>
          <t>SKÅNE LÄN</t>
        </is>
      </c>
      <c r="G110" t="inlineStr">
        <is>
          <t>OSBY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40524-2022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44823</v>
      </c>
      <c r="E111" s="1" t="n">
        <v>46286</v>
      </c>
      <c r="F111" t="inlineStr">
        <is>
          <t>SKÅNE LÄN</t>
        </is>
      </c>
      <c r="G111" t="inlineStr">
        <is>
          <t>OSBY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44553</v>
      </c>
      <c r="E112" s="1" t="n">
        <v>46286</v>
      </c>
      <c r="F112" t="inlineStr">
        <is>
          <t>SKÅNE LÄN</t>
        </is>
      </c>
      <c r="G112" t="inlineStr">
        <is>
          <t>OSBY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8794-2022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44614</v>
      </c>
      <c r="E113" s="1" t="n">
        <v>46286</v>
      </c>
      <c r="F113" t="inlineStr">
        <is>
          <t>SKÅNE LÄN</t>
        </is>
      </c>
      <c r="G113" t="inlineStr">
        <is>
          <t>OSBY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44788</v>
      </c>
      <c r="E114" s="1" t="n">
        <v>46286</v>
      </c>
      <c r="F114" t="inlineStr">
        <is>
          <t>SKÅNE LÄN</t>
        </is>
      </c>
      <c r="G114" t="inlineStr">
        <is>
          <t>OSBY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44805</v>
      </c>
      <c r="E115" s="1" t="n">
        <v>46286</v>
      </c>
      <c r="F115" t="inlineStr">
        <is>
          <t>SKÅNE LÄN</t>
        </is>
      </c>
      <c r="G115" t="inlineStr">
        <is>
          <t>OSBY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46286</v>
      </c>
      <c r="F116" t="inlineStr">
        <is>
          <t>SKÅNE LÄN</t>
        </is>
      </c>
      <c r="G116" t="inlineStr">
        <is>
          <t>OSBY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46286</v>
      </c>
      <c r="F117" t="inlineStr">
        <is>
          <t>SKÅNE LÄN</t>
        </is>
      </c>
      <c r="G117" t="inlineStr">
        <is>
          <t>OSBY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44721</v>
      </c>
      <c r="E118" s="1" t="n">
        <v>46286</v>
      </c>
      <c r="F118" t="inlineStr">
        <is>
          <t>SKÅNE LÄN</t>
        </is>
      </c>
      <c r="G118" t="inlineStr">
        <is>
          <t>OSBY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46286</v>
      </c>
      <c r="F119" t="inlineStr">
        <is>
          <t>SKÅNE LÄN</t>
        </is>
      </c>
      <c r="G119" t="inlineStr">
        <is>
          <t>OSBY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46286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46286</v>
      </c>
      <c r="F121" t="inlineStr">
        <is>
          <t>SKÅNE LÄN</t>
        </is>
      </c>
      <c r="G121" t="inlineStr">
        <is>
          <t>OSBY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46286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46286</v>
      </c>
      <c r="F123" t="inlineStr">
        <is>
          <t>SKÅNE LÄN</t>
        </is>
      </c>
      <c r="G123" t="inlineStr">
        <is>
          <t>OSBY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46286</v>
      </c>
      <c r="F124" t="inlineStr">
        <is>
          <t>SKÅNE LÄN</t>
        </is>
      </c>
      <c r="G124" t="inlineStr">
        <is>
          <t>OSBY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10775-2024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45369</v>
      </c>
      <c r="E125" s="1" t="n">
        <v>46286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51861-2024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45607</v>
      </c>
      <c r="E126" s="1" t="n">
        <v>46286</v>
      </c>
      <c r="F126" t="inlineStr">
        <is>
          <t>SKÅNE LÄN</t>
        </is>
      </c>
      <c r="G126" t="inlineStr">
        <is>
          <t>OSBY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46286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46286</v>
      </c>
      <c r="F128" t="inlineStr">
        <is>
          <t>SKÅNE LÄN</t>
        </is>
      </c>
      <c r="G128" t="inlineStr">
        <is>
          <t>OSBY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46286</v>
      </c>
      <c r="F129" t="inlineStr">
        <is>
          <t>SKÅNE LÄN</t>
        </is>
      </c>
      <c r="G129" t="inlineStr">
        <is>
          <t>OSBY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46286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45063</v>
      </c>
      <c r="E131" s="1" t="n">
        <v>46286</v>
      </c>
      <c r="F131" t="inlineStr">
        <is>
          <t>SKÅNE LÄN</t>
        </is>
      </c>
      <c r="G131" t="inlineStr">
        <is>
          <t>OSBY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45196</v>
      </c>
      <c r="E132" s="1" t="n">
        <v>46286</v>
      </c>
      <c r="F132" t="inlineStr">
        <is>
          <t>SKÅNE LÄN</t>
        </is>
      </c>
      <c r="G132" t="inlineStr">
        <is>
          <t>OSBY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46286</v>
      </c>
      <c r="F133" t="inlineStr">
        <is>
          <t>SKÅNE LÄN</t>
        </is>
      </c>
      <c r="G133" t="inlineStr">
        <is>
          <t>OSBY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46286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46286</v>
      </c>
      <c r="F135" t="inlineStr">
        <is>
          <t>SKÅNE LÄN</t>
        </is>
      </c>
      <c r="G135" t="inlineStr">
        <is>
          <t>OSBY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46286</v>
      </c>
      <c r="F136" t="inlineStr">
        <is>
          <t>SKÅNE LÄN</t>
        </is>
      </c>
      <c r="G136" t="inlineStr">
        <is>
          <t>OSBY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46286</v>
      </c>
      <c r="F137" t="inlineStr">
        <is>
          <t>SKÅNE LÄN</t>
        </is>
      </c>
      <c r="G137" t="inlineStr">
        <is>
          <t>OSBY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46286</v>
      </c>
      <c r="F138" t="inlineStr">
        <is>
          <t>SKÅNE LÄN</t>
        </is>
      </c>
      <c r="G138" t="inlineStr">
        <is>
          <t>OSBY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46286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46286</v>
      </c>
      <c r="F140" t="inlineStr">
        <is>
          <t>SKÅNE LÄN</t>
        </is>
      </c>
      <c r="G140" t="inlineStr">
        <is>
          <t>OSBY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55389-2023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45238</v>
      </c>
      <c r="E141" s="1" t="n">
        <v>46286</v>
      </c>
      <c r="F141" t="inlineStr">
        <is>
          <t>SKÅNE LÄN</t>
        </is>
      </c>
      <c r="G141" t="inlineStr">
        <is>
          <t>OSBY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45015</v>
      </c>
      <c r="E142" s="1" t="n">
        <v>46286</v>
      </c>
      <c r="F142" t="inlineStr">
        <is>
          <t>SKÅNE LÄN</t>
        </is>
      </c>
      <c r="G142" t="inlineStr">
        <is>
          <t>OSBY</t>
        </is>
      </c>
      <c r="H142" t="inlineStr">
        <is>
          <t>Naturvårdsverket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46286</v>
      </c>
      <c r="F143" t="inlineStr">
        <is>
          <t>SKÅNE LÄN</t>
        </is>
      </c>
      <c r="G143" t="inlineStr">
        <is>
          <t>OSBY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46286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46286</v>
      </c>
      <c r="F145" t="inlineStr">
        <is>
          <t>SKÅNE LÄN</t>
        </is>
      </c>
      <c r="G145" t="inlineStr">
        <is>
          <t>OSBY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46286</v>
      </c>
      <c r="F146" t="inlineStr">
        <is>
          <t>SKÅNE LÄN</t>
        </is>
      </c>
      <c r="G146" t="inlineStr">
        <is>
          <t>OSBY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45652</v>
      </c>
      <c r="E147" s="1" t="n">
        <v>46286</v>
      </c>
      <c r="F147" t="inlineStr">
        <is>
          <t>SKÅNE LÄN</t>
        </is>
      </c>
      <c r="G147" t="inlineStr">
        <is>
          <t>OSBY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46286</v>
      </c>
      <c r="F148" t="inlineStr">
        <is>
          <t>SKÅNE LÄN</t>
        </is>
      </c>
      <c r="G148" t="inlineStr">
        <is>
          <t>OSBY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46286</v>
      </c>
      <c r="F149" t="inlineStr">
        <is>
          <t>SKÅNE LÄN</t>
        </is>
      </c>
      <c r="G149" t="inlineStr">
        <is>
          <t>OSBY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46286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46286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45605</v>
      </c>
      <c r="E152" s="1" t="n">
        <v>46286</v>
      </c>
      <c r="F152" t="inlineStr">
        <is>
          <t>SKÅNE LÄN</t>
        </is>
      </c>
      <c r="G152" t="inlineStr">
        <is>
          <t>OSBY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45605</v>
      </c>
      <c r="E153" s="1" t="n">
        <v>46286</v>
      </c>
      <c r="F153" t="inlineStr">
        <is>
          <t>SKÅNE LÄN</t>
        </is>
      </c>
      <c r="G153" t="inlineStr">
        <is>
          <t>OSBY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45353</v>
      </c>
      <c r="E154" s="1" t="n">
        <v>46286</v>
      </c>
      <c r="F154" t="inlineStr">
        <is>
          <t>SKÅNE LÄN</t>
        </is>
      </c>
      <c r="G154" t="inlineStr">
        <is>
          <t>OSBY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44790</v>
      </c>
      <c r="E155" s="1" t="n">
        <v>46286</v>
      </c>
      <c r="F155" t="inlineStr">
        <is>
          <t>SKÅNE LÄN</t>
        </is>
      </c>
      <c r="G155" t="inlineStr">
        <is>
          <t>OSBY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46286</v>
      </c>
      <c r="F156" t="inlineStr">
        <is>
          <t>SKÅNE LÄN</t>
        </is>
      </c>
      <c r="G156" t="inlineStr">
        <is>
          <t>OSBY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46286</v>
      </c>
      <c r="F157" t="inlineStr">
        <is>
          <t>SKÅNE LÄN</t>
        </is>
      </c>
      <c r="G157" t="inlineStr">
        <is>
          <t>OSBY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44904</v>
      </c>
      <c r="E158" s="1" t="n">
        <v>46286</v>
      </c>
      <c r="F158" t="inlineStr">
        <is>
          <t>SKÅNE LÄN</t>
        </is>
      </c>
      <c r="G158" t="inlineStr">
        <is>
          <t>OSBY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46286</v>
      </c>
      <c r="F159" t="inlineStr">
        <is>
          <t>SKÅNE LÄN</t>
        </is>
      </c>
      <c r="G159" t="inlineStr">
        <is>
          <t>OSBY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46286</v>
      </c>
      <c r="F160" t="inlineStr">
        <is>
          <t>SKÅNE LÄN</t>
        </is>
      </c>
      <c r="G160" t="inlineStr">
        <is>
          <t>OSBY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44585</v>
      </c>
      <c r="E161" s="1" t="n">
        <v>46286</v>
      </c>
      <c r="F161" t="inlineStr">
        <is>
          <t>SKÅNE LÄN</t>
        </is>
      </c>
      <c r="G161" t="inlineStr">
        <is>
          <t>OSBY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46286</v>
      </c>
      <c r="F162" t="inlineStr">
        <is>
          <t>SKÅNE LÄN</t>
        </is>
      </c>
      <c r="G162" t="inlineStr">
        <is>
          <t>OSBY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46286</v>
      </c>
      <c r="F163" t="inlineStr">
        <is>
          <t>SKÅNE LÄN</t>
        </is>
      </c>
      <c r="G163" t="inlineStr">
        <is>
          <t>OSBY</t>
        </is>
      </c>
      <c r="H163" t="inlineStr">
        <is>
          <t>Kyrkan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45733</v>
      </c>
      <c r="E164" s="1" t="n">
        <v>46286</v>
      </c>
      <c r="F164" t="inlineStr">
        <is>
          <t>SKÅNE LÄN</t>
        </is>
      </c>
      <c r="G164" t="inlineStr">
        <is>
          <t>OSBY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46286</v>
      </c>
      <c r="F165" t="inlineStr">
        <is>
          <t>SKÅNE LÄN</t>
        </is>
      </c>
      <c r="G165" t="inlineStr">
        <is>
          <t>OSBY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46286</v>
      </c>
      <c r="F166" t="inlineStr">
        <is>
          <t>SKÅNE LÄN</t>
        </is>
      </c>
      <c r="G166" t="inlineStr">
        <is>
          <t>OSBY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46286</v>
      </c>
      <c r="F167" t="inlineStr">
        <is>
          <t>SKÅNE LÄN</t>
        </is>
      </c>
      <c r="G167" t="inlineStr">
        <is>
          <t>OSBY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46286</v>
      </c>
      <c r="F168" t="inlineStr">
        <is>
          <t>SKÅNE LÄN</t>
        </is>
      </c>
      <c r="G168" t="inlineStr">
        <is>
          <t>OSBY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45362</v>
      </c>
      <c r="E169" s="1" t="n">
        <v>46286</v>
      </c>
      <c r="F169" t="inlineStr">
        <is>
          <t>SKÅNE LÄN</t>
        </is>
      </c>
      <c r="G169" t="inlineStr">
        <is>
          <t>OSBY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46286</v>
      </c>
      <c r="F170" t="inlineStr">
        <is>
          <t>SKÅNE LÄN</t>
        </is>
      </c>
      <c r="G170" t="inlineStr">
        <is>
          <t>OSBY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46286</v>
      </c>
      <c r="F171" t="inlineStr">
        <is>
          <t>SKÅNE LÄN</t>
        </is>
      </c>
      <c r="G171" t="inlineStr">
        <is>
          <t>OSBY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44921</v>
      </c>
      <c r="E172" s="1" t="n">
        <v>46286</v>
      </c>
      <c r="F172" t="inlineStr">
        <is>
          <t>SKÅNE LÄN</t>
        </is>
      </c>
      <c r="G172" t="inlineStr">
        <is>
          <t>OSBY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46286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46286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46286</v>
      </c>
      <c r="F175" t="inlineStr">
        <is>
          <t>SKÅNE LÄN</t>
        </is>
      </c>
      <c r="G175" t="inlineStr">
        <is>
          <t>OSBY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45683</v>
      </c>
      <c r="E176" s="1" t="n">
        <v>46286</v>
      </c>
      <c r="F176" t="inlineStr">
        <is>
          <t>SKÅNE LÄN</t>
        </is>
      </c>
      <c r="G176" t="inlineStr">
        <is>
          <t>OSBY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46286</v>
      </c>
      <c r="F177" t="inlineStr">
        <is>
          <t>SKÅNE LÄN</t>
        </is>
      </c>
      <c r="G177" t="inlineStr">
        <is>
          <t>OSBY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46286</v>
      </c>
      <c r="F178" t="inlineStr">
        <is>
          <t>SKÅNE LÄN</t>
        </is>
      </c>
      <c r="G178" t="inlineStr">
        <is>
          <t>OSBY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44832</v>
      </c>
      <c r="E179" s="1" t="n">
        <v>46286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46286</v>
      </c>
      <c r="F180" t="inlineStr">
        <is>
          <t>SKÅNE LÄN</t>
        </is>
      </c>
      <c r="G180" t="inlineStr">
        <is>
          <t>OSBY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45609</v>
      </c>
      <c r="E181" s="1" t="n">
        <v>46286</v>
      </c>
      <c r="F181" t="inlineStr">
        <is>
          <t>SKÅNE LÄN</t>
        </is>
      </c>
      <c r="G181" t="inlineStr">
        <is>
          <t>OSBY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46286</v>
      </c>
      <c r="F182" t="inlineStr">
        <is>
          <t>SKÅNE LÄN</t>
        </is>
      </c>
      <c r="G182" t="inlineStr">
        <is>
          <t>OSBY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46286</v>
      </c>
      <c r="F183" t="inlineStr">
        <is>
          <t>SKÅNE LÄN</t>
        </is>
      </c>
      <c r="G183" t="inlineStr">
        <is>
          <t>OSBY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46286</v>
      </c>
      <c r="F184" t="inlineStr">
        <is>
          <t>SKÅNE LÄN</t>
        </is>
      </c>
      <c r="G184" t="inlineStr">
        <is>
          <t>OSBY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44826</v>
      </c>
      <c r="E185" s="1" t="n">
        <v>46286</v>
      </c>
      <c r="F185" t="inlineStr">
        <is>
          <t>SKÅNE LÄN</t>
        </is>
      </c>
      <c r="G185" t="inlineStr">
        <is>
          <t>OSBY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46286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45537</v>
      </c>
      <c r="E187" s="1" t="n">
        <v>46286</v>
      </c>
      <c r="F187" t="inlineStr">
        <is>
          <t>SKÅNE LÄN</t>
        </is>
      </c>
      <c r="G187" t="inlineStr">
        <is>
          <t>OSBY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44602</v>
      </c>
      <c r="E188" s="1" t="n">
        <v>46286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46286</v>
      </c>
      <c r="F189" t="inlineStr">
        <is>
          <t>SKÅNE LÄN</t>
        </is>
      </c>
      <c r="G189" t="inlineStr">
        <is>
          <t>OSBY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46286</v>
      </c>
      <c r="F190" t="inlineStr">
        <is>
          <t>SKÅNE LÄN</t>
        </is>
      </c>
      <c r="G190" t="inlineStr">
        <is>
          <t>OSBY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45082</v>
      </c>
      <c r="E191" s="1" t="n">
        <v>46286</v>
      </c>
      <c r="F191" t="inlineStr">
        <is>
          <t>SKÅNE LÄN</t>
        </is>
      </c>
      <c r="G191" t="inlineStr">
        <is>
          <t>OSBY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44580</v>
      </c>
      <c r="E192" s="1" t="n">
        <v>46286</v>
      </c>
      <c r="F192" t="inlineStr">
        <is>
          <t>SKÅNE LÄN</t>
        </is>
      </c>
      <c r="G192" t="inlineStr">
        <is>
          <t>OSBY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46286</v>
      </c>
      <c r="F193" t="inlineStr">
        <is>
          <t>SKÅNE LÄN</t>
        </is>
      </c>
      <c r="G193" t="inlineStr">
        <is>
          <t>OSBY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46286</v>
      </c>
      <c r="F194" t="inlineStr">
        <is>
          <t>SKÅNE LÄN</t>
        </is>
      </c>
      <c r="G194" t="inlineStr">
        <is>
          <t>OSBY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44801</v>
      </c>
      <c r="E195" s="1" t="n">
        <v>46286</v>
      </c>
      <c r="F195" t="inlineStr">
        <is>
          <t>SKÅNE LÄN</t>
        </is>
      </c>
      <c r="G195" t="inlineStr">
        <is>
          <t>OSBY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46286</v>
      </c>
      <c r="F196" t="inlineStr">
        <is>
          <t>SKÅNE LÄN</t>
        </is>
      </c>
      <c r="G196" t="inlineStr">
        <is>
          <t>OSBY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46286</v>
      </c>
      <c r="F197" t="inlineStr">
        <is>
          <t>SKÅNE LÄN</t>
        </is>
      </c>
      <c r="G197" t="inlineStr">
        <is>
          <t>OSBY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44916</v>
      </c>
      <c r="E198" s="1" t="n">
        <v>46286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25579-2024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45463</v>
      </c>
      <c r="E199" s="1" t="n">
        <v>46286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46286</v>
      </c>
      <c r="F200" t="inlineStr">
        <is>
          <t>SKÅNE LÄN</t>
        </is>
      </c>
      <c r="G200" t="inlineStr">
        <is>
          <t>OSBY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45468</v>
      </c>
      <c r="E201" s="1" t="n">
        <v>46286</v>
      </c>
      <c r="F201" t="inlineStr">
        <is>
          <t>SKÅNE LÄN</t>
        </is>
      </c>
      <c r="G201" t="inlineStr">
        <is>
          <t>OSBY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45483</v>
      </c>
      <c r="E202" s="1" t="n">
        <v>46286</v>
      </c>
      <c r="F202" t="inlineStr">
        <is>
          <t>SKÅNE LÄN</t>
        </is>
      </c>
      <c r="G202" t="inlineStr">
        <is>
          <t>OSBY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46286</v>
      </c>
      <c r="F203" t="inlineStr">
        <is>
          <t>SKÅNE LÄN</t>
        </is>
      </c>
      <c r="G203" t="inlineStr">
        <is>
          <t>OSBY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46286</v>
      </c>
      <c r="F204" t="inlineStr">
        <is>
          <t>SKÅNE LÄN</t>
        </is>
      </c>
      <c r="G204" t="inlineStr">
        <is>
          <t>OSBY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44867</v>
      </c>
      <c r="E205" s="1" t="n">
        <v>46286</v>
      </c>
      <c r="F205" t="inlineStr">
        <is>
          <t>SKÅNE LÄN</t>
        </is>
      </c>
      <c r="G205" t="inlineStr">
        <is>
          <t>OSBY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44663</v>
      </c>
      <c r="E206" s="1" t="n">
        <v>46286</v>
      </c>
      <c r="F206" t="inlineStr">
        <is>
          <t>SKÅNE LÄN</t>
        </is>
      </c>
      <c r="G206" t="inlineStr">
        <is>
          <t>OSBY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46286</v>
      </c>
      <c r="F207" t="inlineStr">
        <is>
          <t>SKÅNE LÄN</t>
        </is>
      </c>
      <c r="G207" t="inlineStr">
        <is>
          <t>OSBY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46286</v>
      </c>
      <c r="F208" t="inlineStr">
        <is>
          <t>SKÅNE LÄN</t>
        </is>
      </c>
      <c r="G208" t="inlineStr">
        <is>
          <t>OSBY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46286</v>
      </c>
      <c r="F209" t="inlineStr">
        <is>
          <t>SKÅNE LÄN</t>
        </is>
      </c>
      <c r="G209" t="inlineStr">
        <is>
          <t>OSBY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44743</v>
      </c>
      <c r="E210" s="1" t="n">
        <v>46286</v>
      </c>
      <c r="F210" t="inlineStr">
        <is>
          <t>SKÅNE LÄN</t>
        </is>
      </c>
      <c r="G210" t="inlineStr">
        <is>
          <t>OSBY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45033</v>
      </c>
      <c r="E211" s="1" t="n">
        <v>46286</v>
      </c>
      <c r="F211" t="inlineStr">
        <is>
          <t>SKÅNE LÄN</t>
        </is>
      </c>
      <c r="G211" t="inlineStr">
        <is>
          <t>OSBY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46286</v>
      </c>
      <c r="F212" t="inlineStr">
        <is>
          <t>SKÅNE LÄN</t>
        </is>
      </c>
      <c r="G212" t="inlineStr">
        <is>
          <t>OSBY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46286</v>
      </c>
      <c r="F213" t="inlineStr">
        <is>
          <t>SKÅNE LÄN</t>
        </is>
      </c>
      <c r="G213" t="inlineStr">
        <is>
          <t>OSBY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68592-2021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44529</v>
      </c>
      <c r="E214" s="1" t="n">
        <v>46286</v>
      </c>
      <c r="F214" t="inlineStr">
        <is>
          <t>SKÅNE LÄN</t>
        </is>
      </c>
      <c r="G214" t="inlineStr">
        <is>
          <t>OSBY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46286</v>
      </c>
      <c r="F215" t="inlineStr">
        <is>
          <t>SKÅNE LÄN</t>
        </is>
      </c>
      <c r="G215" t="inlineStr">
        <is>
          <t>OSBY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44832</v>
      </c>
      <c r="E216" s="1" t="n">
        <v>46286</v>
      </c>
      <c r="F216" t="inlineStr">
        <is>
          <t>SKÅNE LÄN</t>
        </is>
      </c>
      <c r="G216" t="inlineStr">
        <is>
          <t>OSBY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46286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46286</v>
      </c>
      <c r="F218" t="inlineStr">
        <is>
          <t>SKÅNE LÄN</t>
        </is>
      </c>
      <c r="G218" t="inlineStr">
        <is>
          <t>OSBY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46286</v>
      </c>
      <c r="F219" t="inlineStr">
        <is>
          <t>SKÅNE LÄN</t>
        </is>
      </c>
      <c r="G219" t="inlineStr">
        <is>
          <t>OSBY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45762</v>
      </c>
      <c r="E220" s="1" t="n">
        <v>46286</v>
      </c>
      <c r="F220" t="inlineStr">
        <is>
          <t>SKÅNE LÄN</t>
        </is>
      </c>
      <c r="G220" t="inlineStr">
        <is>
          <t>OSBY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64469-2021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44511</v>
      </c>
      <c r="E221" s="1" t="n">
        <v>46286</v>
      </c>
      <c r="F221" t="inlineStr">
        <is>
          <t>SKÅNE LÄN</t>
        </is>
      </c>
      <c r="G221" t="inlineStr">
        <is>
          <t>OSBY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44978</v>
      </c>
      <c r="E222" s="1" t="n">
        <v>46286</v>
      </c>
      <c r="F222" t="inlineStr">
        <is>
          <t>SKÅNE LÄN</t>
        </is>
      </c>
      <c r="G222" t="inlineStr">
        <is>
          <t>OSBY</t>
        </is>
      </c>
      <c r="H222" t="inlineStr">
        <is>
          <t>Naturvårdsverket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46286</v>
      </c>
      <c r="F223" t="inlineStr">
        <is>
          <t>SKÅNE LÄN</t>
        </is>
      </c>
      <c r="G223" t="inlineStr">
        <is>
          <t>OSBY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46286</v>
      </c>
      <c r="F224" t="inlineStr">
        <is>
          <t>SKÅNE LÄN</t>
        </is>
      </c>
      <c r="G224" t="inlineStr">
        <is>
          <t>OSBY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45323</v>
      </c>
      <c r="E225" s="1" t="n">
        <v>46286</v>
      </c>
      <c r="F225" t="inlineStr">
        <is>
          <t>SKÅNE LÄN</t>
        </is>
      </c>
      <c r="G225" t="inlineStr">
        <is>
          <t>OSBY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46286</v>
      </c>
      <c r="F226" t="inlineStr">
        <is>
          <t>SKÅNE LÄN</t>
        </is>
      </c>
      <c r="G226" t="inlineStr">
        <is>
          <t>OSBY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46286</v>
      </c>
      <c r="F227" t="inlineStr">
        <is>
          <t>SKÅNE LÄN</t>
        </is>
      </c>
      <c r="G227" t="inlineStr">
        <is>
          <t>OSBY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46286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46286</v>
      </c>
      <c r="F229" t="inlineStr">
        <is>
          <t>SKÅNE LÄN</t>
        </is>
      </c>
      <c r="G229" t="inlineStr">
        <is>
          <t>OSBY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46286</v>
      </c>
      <c r="F230" t="inlineStr">
        <is>
          <t>SKÅNE LÄN</t>
        </is>
      </c>
      <c r="G230" t="inlineStr">
        <is>
          <t>OSBY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46286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46286</v>
      </c>
      <c r="F232" t="inlineStr">
        <is>
          <t>SKÅNE LÄN</t>
        </is>
      </c>
      <c r="G232" t="inlineStr">
        <is>
          <t>OSBY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46286</v>
      </c>
      <c r="F233" t="inlineStr">
        <is>
          <t>SKÅNE LÄN</t>
        </is>
      </c>
      <c r="G233" t="inlineStr">
        <is>
          <t>OSBY</t>
        </is>
      </c>
      <c r="H233" t="inlineStr">
        <is>
          <t>Kommuner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45390</v>
      </c>
      <c r="E234" s="1" t="n">
        <v>46286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45100</v>
      </c>
      <c r="E235" s="1" t="n">
        <v>46286</v>
      </c>
      <c r="F235" t="inlineStr">
        <is>
          <t>SKÅNE LÄN</t>
        </is>
      </c>
      <c r="G235" t="inlineStr">
        <is>
          <t>OSBY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46286</v>
      </c>
      <c r="F236" t="inlineStr">
        <is>
          <t>SKÅNE LÄN</t>
        </is>
      </c>
      <c r="G236" t="inlineStr">
        <is>
          <t>OSBY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44644</v>
      </c>
      <c r="E237" s="1" t="n">
        <v>46286</v>
      </c>
      <c r="F237" t="inlineStr">
        <is>
          <t>SKÅNE LÄN</t>
        </is>
      </c>
      <c r="G237" t="inlineStr">
        <is>
          <t>OSBY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46286</v>
      </c>
      <c r="F238" t="inlineStr">
        <is>
          <t>SKÅNE LÄN</t>
        </is>
      </c>
      <c r="G238" t="inlineStr">
        <is>
          <t>OSBY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46286</v>
      </c>
      <c r="F239" t="inlineStr">
        <is>
          <t>SKÅNE LÄN</t>
        </is>
      </c>
      <c r="G239" t="inlineStr">
        <is>
          <t>OSBY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46286</v>
      </c>
      <c r="F240" t="inlineStr">
        <is>
          <t>SKÅNE LÄN</t>
        </is>
      </c>
      <c r="G240" t="inlineStr">
        <is>
          <t>OSBY</t>
        </is>
      </c>
      <c r="I240" t="n">
        <v>19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46286</v>
      </c>
      <c r="F241" t="inlineStr">
        <is>
          <t>SKÅNE LÄN</t>
        </is>
      </c>
      <c r="G241" t="inlineStr">
        <is>
          <t>OSBY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36229-2024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46286</v>
      </c>
      <c r="F242" t="inlineStr">
        <is>
          <t>SKÅNE LÄN</t>
        </is>
      </c>
      <c r="G242" t="inlineStr">
        <is>
          <t>OSBY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45534</v>
      </c>
      <c r="E243" s="1" t="n">
        <v>46286</v>
      </c>
      <c r="F243" t="inlineStr">
        <is>
          <t>SKÅNE LÄN</t>
        </is>
      </c>
      <c r="G243" t="inlineStr">
        <is>
          <t>OSBY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46286</v>
      </c>
      <c r="F244" t="inlineStr">
        <is>
          <t>SKÅNE LÄN</t>
        </is>
      </c>
      <c r="G244" t="inlineStr">
        <is>
          <t>OSBY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46286</v>
      </c>
      <c r="F245" t="inlineStr">
        <is>
          <t>SKÅNE LÄN</t>
        </is>
      </c>
      <c r="G245" t="inlineStr">
        <is>
          <t>OSBY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44845</v>
      </c>
      <c r="E246" s="1" t="n">
        <v>46286</v>
      </c>
      <c r="F246" t="inlineStr">
        <is>
          <t>SKÅNE LÄN</t>
        </is>
      </c>
      <c r="G246" t="inlineStr">
        <is>
          <t>OSBY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46286</v>
      </c>
      <c r="F247" t="inlineStr">
        <is>
          <t>SKÅNE LÄN</t>
        </is>
      </c>
      <c r="G247" t="inlineStr">
        <is>
          <t>OSBY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45677</v>
      </c>
      <c r="E248" s="1" t="n">
        <v>46286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46286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44711</v>
      </c>
      <c r="E250" s="1" t="n">
        <v>46286</v>
      </c>
      <c r="F250" t="inlineStr">
        <is>
          <t>SKÅNE LÄN</t>
        </is>
      </c>
      <c r="G250" t="inlineStr">
        <is>
          <t>OSBY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67613-2021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46286</v>
      </c>
      <c r="F251" t="inlineStr">
        <is>
          <t>SKÅNE LÄN</t>
        </is>
      </c>
      <c r="G251" t="inlineStr">
        <is>
          <t>OSBY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67616-2021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44524</v>
      </c>
      <c r="E252" s="1" t="n">
        <v>46286</v>
      </c>
      <c r="F252" t="inlineStr">
        <is>
          <t>SKÅNE LÄN</t>
        </is>
      </c>
      <c r="G252" t="inlineStr">
        <is>
          <t>OSBY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46286</v>
      </c>
      <c r="F253" t="inlineStr">
        <is>
          <t>SKÅNE LÄN</t>
        </is>
      </c>
      <c r="G253" t="inlineStr">
        <is>
          <t>OSBY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46286</v>
      </c>
      <c r="F254" t="inlineStr">
        <is>
          <t>SKÅNE LÄN</t>
        </is>
      </c>
      <c r="G254" t="inlineStr">
        <is>
          <t>OSBY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46286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46286</v>
      </c>
      <c r="F256" t="inlineStr">
        <is>
          <t>SKÅNE LÄN</t>
        </is>
      </c>
      <c r="G256" t="inlineStr">
        <is>
          <t>OSBY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46286</v>
      </c>
      <c r="F257" t="inlineStr">
        <is>
          <t>SKÅNE LÄN</t>
        </is>
      </c>
      <c r="G257" t="inlineStr">
        <is>
          <t>OSBY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46286</v>
      </c>
      <c r="F258" t="inlineStr">
        <is>
          <t>SKÅNE LÄN</t>
        </is>
      </c>
      <c r="G258" t="inlineStr">
        <is>
          <t>OSBY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46286</v>
      </c>
      <c r="F259" t="inlineStr">
        <is>
          <t>SKÅNE LÄN</t>
        </is>
      </c>
      <c r="G259" t="inlineStr">
        <is>
          <t>OSBY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46286</v>
      </c>
      <c r="F260" t="inlineStr">
        <is>
          <t>SKÅNE LÄN</t>
        </is>
      </c>
      <c r="G260" t="inlineStr">
        <is>
          <t>OSBY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46286</v>
      </c>
      <c r="F261" t="inlineStr">
        <is>
          <t>SKÅNE LÄN</t>
        </is>
      </c>
      <c r="G261" t="inlineStr">
        <is>
          <t>OSBY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45575</v>
      </c>
      <c r="E262" s="1" t="n">
        <v>46286</v>
      </c>
      <c r="F262" t="inlineStr">
        <is>
          <t>SKÅNE LÄN</t>
        </is>
      </c>
      <c r="G262" t="inlineStr">
        <is>
          <t>OSBY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46286</v>
      </c>
      <c r="F263" t="inlineStr">
        <is>
          <t>SKÅNE LÄN</t>
        </is>
      </c>
      <c r="G263" t="inlineStr">
        <is>
          <t>OSBY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56177-2021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44477</v>
      </c>
      <c r="E264" s="1" t="n">
        <v>46286</v>
      </c>
      <c r="F264" t="inlineStr">
        <is>
          <t>SKÅNE LÄN</t>
        </is>
      </c>
      <c r="G264" t="inlineStr">
        <is>
          <t>OSBY</t>
        </is>
      </c>
      <c r="H264" t="inlineStr">
        <is>
          <t>Kommuner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31758-2022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44776</v>
      </c>
      <c r="E265" s="1" t="n">
        <v>46286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45282</v>
      </c>
      <c r="E266" s="1" t="n">
        <v>46286</v>
      </c>
      <c r="F266" t="inlineStr">
        <is>
          <t>SKÅNE LÄN</t>
        </is>
      </c>
      <c r="G266" t="inlineStr">
        <is>
          <t>OSBY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46286</v>
      </c>
      <c r="F267" t="inlineStr">
        <is>
          <t>SKÅNE LÄN</t>
        </is>
      </c>
      <c r="G267" t="inlineStr">
        <is>
          <t>OSBY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44790</v>
      </c>
      <c r="E268" s="1" t="n">
        <v>46286</v>
      </c>
      <c r="F268" t="inlineStr">
        <is>
          <t>SKÅNE LÄN</t>
        </is>
      </c>
      <c r="G268" t="inlineStr">
        <is>
          <t>OSBY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46286</v>
      </c>
      <c r="F269" t="inlineStr">
        <is>
          <t>SKÅNE LÄN</t>
        </is>
      </c>
      <c r="G269" t="inlineStr">
        <is>
          <t>OSBY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46286</v>
      </c>
      <c r="F270" t="inlineStr">
        <is>
          <t>SKÅNE LÄN</t>
        </is>
      </c>
      <c r="G270" t="inlineStr">
        <is>
          <t>OSBY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44463</v>
      </c>
      <c r="E271" s="1" t="n">
        <v>46286</v>
      </c>
      <c r="F271" t="inlineStr">
        <is>
          <t>SKÅNE LÄN</t>
        </is>
      </c>
      <c r="G271" t="inlineStr">
        <is>
          <t>OSBY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46286</v>
      </c>
      <c r="F272" t="inlineStr">
        <is>
          <t>SKÅNE LÄN</t>
        </is>
      </c>
      <c r="G272" t="inlineStr">
        <is>
          <t>OSBY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44904</v>
      </c>
      <c r="E273" s="1" t="n">
        <v>46286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46286</v>
      </c>
      <c r="F274" t="inlineStr">
        <is>
          <t>SKÅNE LÄN</t>
        </is>
      </c>
      <c r="G274" t="inlineStr">
        <is>
          <t>OSBY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46286</v>
      </c>
      <c r="F275" t="inlineStr">
        <is>
          <t>SKÅNE LÄN</t>
        </is>
      </c>
      <c r="G275" t="inlineStr">
        <is>
          <t>OSBY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45414</v>
      </c>
      <c r="E276" s="1" t="n">
        <v>46286</v>
      </c>
      <c r="F276" t="inlineStr">
        <is>
          <t>SKÅNE LÄN</t>
        </is>
      </c>
      <c r="G276" t="inlineStr">
        <is>
          <t>OSBY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45506</v>
      </c>
      <c r="E277" s="1" t="n">
        <v>46286</v>
      </c>
      <c r="F277" t="inlineStr">
        <is>
          <t>SKÅNE LÄN</t>
        </is>
      </c>
      <c r="G277" t="inlineStr">
        <is>
          <t>OSBY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46286</v>
      </c>
      <c r="F278" t="inlineStr">
        <is>
          <t>SKÅNE LÄN</t>
        </is>
      </c>
      <c r="G278" t="inlineStr">
        <is>
          <t>OSBY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46286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45434</v>
      </c>
      <c r="E280" s="1" t="n">
        <v>46286</v>
      </c>
      <c r="F280" t="inlineStr">
        <is>
          <t>SKÅNE LÄN</t>
        </is>
      </c>
      <c r="G280" t="inlineStr">
        <is>
          <t>OSBY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45648</v>
      </c>
      <c r="E281" s="1" t="n">
        <v>46286</v>
      </c>
      <c r="F281" t="inlineStr">
        <is>
          <t>SKÅNE LÄN</t>
        </is>
      </c>
      <c r="G281" t="inlineStr">
        <is>
          <t>OSBY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46286</v>
      </c>
      <c r="F282" t="inlineStr">
        <is>
          <t>SKÅNE LÄN</t>
        </is>
      </c>
      <c r="G282" t="inlineStr">
        <is>
          <t>OSBY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45961</v>
      </c>
      <c r="E283" s="1" t="n">
        <v>46286</v>
      </c>
      <c r="F283" t="inlineStr">
        <is>
          <t>SKÅNE LÄN</t>
        </is>
      </c>
      <c r="G283" t="inlineStr">
        <is>
          <t>OSBY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46286</v>
      </c>
      <c r="F284" t="inlineStr">
        <is>
          <t>SKÅNE LÄN</t>
        </is>
      </c>
      <c r="G284" t="inlineStr">
        <is>
          <t>OSBY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44838</v>
      </c>
      <c r="E285" s="1" t="n">
        <v>46286</v>
      </c>
      <c r="F285" t="inlineStr">
        <is>
          <t>SKÅNE LÄN</t>
        </is>
      </c>
      <c r="G285" t="inlineStr">
        <is>
          <t>OSBY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46286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46286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46286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46286</v>
      </c>
      <c r="F289" t="inlineStr">
        <is>
          <t>SKÅNE LÄN</t>
        </is>
      </c>
      <c r="G289" t="inlineStr">
        <is>
          <t>OSBY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46286</v>
      </c>
      <c r="F290" t="inlineStr">
        <is>
          <t>SKÅNE LÄN</t>
        </is>
      </c>
      <c r="G290" t="inlineStr">
        <is>
          <t>OSBY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45610</v>
      </c>
      <c r="E291" s="1" t="n">
        <v>46286</v>
      </c>
      <c r="F291" t="inlineStr">
        <is>
          <t>SKÅNE LÄN</t>
        </is>
      </c>
      <c r="G291" t="inlineStr">
        <is>
          <t>OSBY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46286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46286</v>
      </c>
      <c r="F293" t="inlineStr">
        <is>
          <t>SKÅNE LÄN</t>
        </is>
      </c>
      <c r="G293" t="inlineStr">
        <is>
          <t>OSBY</t>
        </is>
      </c>
      <c r="H293" t="inlineStr">
        <is>
          <t>Kyrkan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45012</v>
      </c>
      <c r="E294" s="1" t="n">
        <v>46286</v>
      </c>
      <c r="F294" t="inlineStr">
        <is>
          <t>SKÅNE LÄN</t>
        </is>
      </c>
      <c r="G294" t="inlineStr">
        <is>
          <t>OSBY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46286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46286</v>
      </c>
      <c r="F296" t="inlineStr">
        <is>
          <t>SKÅNE LÄN</t>
        </is>
      </c>
      <c r="G296" t="inlineStr">
        <is>
          <t>OSBY</t>
        </is>
      </c>
      <c r="H296" t="inlineStr">
        <is>
          <t>Sveaskog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44658</v>
      </c>
      <c r="E297" s="1" t="n">
        <v>46286</v>
      </c>
      <c r="F297" t="inlineStr">
        <is>
          <t>SKÅNE LÄN</t>
        </is>
      </c>
      <c r="G297" t="inlineStr">
        <is>
          <t>OSBY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46286</v>
      </c>
      <c r="F298" t="inlineStr">
        <is>
          <t>SKÅNE LÄN</t>
        </is>
      </c>
      <c r="G298" t="inlineStr">
        <is>
          <t>OSBY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46286</v>
      </c>
      <c r="F299" t="inlineStr">
        <is>
          <t>SKÅNE LÄN</t>
        </is>
      </c>
      <c r="G299" t="inlineStr">
        <is>
          <t>OSBY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46286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12680-2025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45733</v>
      </c>
      <c r="E301" s="1" t="n">
        <v>46286</v>
      </c>
      <c r="F301" t="inlineStr">
        <is>
          <t>SKÅNE LÄN</t>
        </is>
      </c>
      <c r="G301" t="inlineStr">
        <is>
          <t>OSBY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46286</v>
      </c>
      <c r="F302" t="inlineStr">
        <is>
          <t>SKÅNE LÄN</t>
        </is>
      </c>
      <c r="G302" t="inlineStr">
        <is>
          <t>OSBY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46286</v>
      </c>
      <c r="F303" t="inlineStr">
        <is>
          <t>SKÅNE LÄN</t>
        </is>
      </c>
      <c r="G303" t="inlineStr">
        <is>
          <t>OSBY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45964</v>
      </c>
      <c r="E304" s="1" t="n">
        <v>46286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46286</v>
      </c>
      <c r="F305" t="inlineStr">
        <is>
          <t>SKÅNE LÄN</t>
        </is>
      </c>
      <c r="G305" t="inlineStr">
        <is>
          <t>OSBY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45237</v>
      </c>
      <c r="E306" s="1" t="n">
        <v>46286</v>
      </c>
      <c r="F306" t="inlineStr">
        <is>
          <t>SKÅNE LÄN</t>
        </is>
      </c>
      <c r="G306" t="inlineStr">
        <is>
          <t>OSBY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46286</v>
      </c>
      <c r="F307" t="inlineStr">
        <is>
          <t>SKÅNE LÄN</t>
        </is>
      </c>
      <c r="G307" t="inlineStr">
        <is>
          <t>OSBY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45360</v>
      </c>
      <c r="E308" s="1" t="n">
        <v>46286</v>
      </c>
      <c r="F308" t="inlineStr">
        <is>
          <t>SKÅNE LÄN</t>
        </is>
      </c>
      <c r="G308" t="inlineStr">
        <is>
          <t>OSBY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46286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46286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46286</v>
      </c>
      <c r="F311" t="inlineStr">
        <is>
          <t>SKÅNE LÄN</t>
        </is>
      </c>
      <c r="G311" t="inlineStr">
        <is>
          <t>OSBY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74016-2021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44557</v>
      </c>
      <c r="E312" s="1" t="n">
        <v>46286</v>
      </c>
      <c r="F312" t="inlineStr">
        <is>
          <t>SKÅNE LÄN</t>
        </is>
      </c>
      <c r="G312" t="inlineStr">
        <is>
          <t>OSBY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46286</v>
      </c>
      <c r="F313" t="inlineStr">
        <is>
          <t>SKÅNE LÄN</t>
        </is>
      </c>
      <c r="G313" t="inlineStr">
        <is>
          <t>OSBY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45154</v>
      </c>
      <c r="E314" s="1" t="n">
        <v>46286</v>
      </c>
      <c r="F314" t="inlineStr">
        <is>
          <t>SKÅNE LÄN</t>
        </is>
      </c>
      <c r="G314" t="inlineStr">
        <is>
          <t>OSBY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46286</v>
      </c>
      <c r="F315" t="inlineStr">
        <is>
          <t>SKÅNE LÄN</t>
        </is>
      </c>
      <c r="G315" t="inlineStr">
        <is>
          <t>OSBY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46286</v>
      </c>
      <c r="F316" t="inlineStr">
        <is>
          <t>SKÅNE LÄN</t>
        </is>
      </c>
      <c r="G316" t="inlineStr">
        <is>
          <t>OSBY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46286</v>
      </c>
      <c r="F317" t="inlineStr">
        <is>
          <t>SKÅNE LÄN</t>
        </is>
      </c>
      <c r="G317" t="inlineStr">
        <is>
          <t>OSBY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46286</v>
      </c>
      <c r="F318" t="inlineStr">
        <is>
          <t>SKÅNE LÄN</t>
        </is>
      </c>
      <c r="G318" t="inlineStr">
        <is>
          <t>OSBY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45706</v>
      </c>
      <c r="E319" s="1" t="n">
        <v>46286</v>
      </c>
      <c r="F319" t="inlineStr">
        <is>
          <t>SKÅNE LÄN</t>
        </is>
      </c>
      <c r="G319" t="inlineStr">
        <is>
          <t>OSBY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46286</v>
      </c>
      <c r="F320" t="inlineStr">
        <is>
          <t>SKÅNE LÄN</t>
        </is>
      </c>
      <c r="G320" t="inlineStr">
        <is>
          <t>OSBY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46286</v>
      </c>
      <c r="F321" t="inlineStr">
        <is>
          <t>SKÅNE LÄN</t>
        </is>
      </c>
      <c r="G321" t="inlineStr">
        <is>
          <t>OSBY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57856-2024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46286</v>
      </c>
      <c r="F322" t="inlineStr">
        <is>
          <t>SKÅNE LÄN</t>
        </is>
      </c>
      <c r="G322" t="inlineStr">
        <is>
          <t>OSBY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46286</v>
      </c>
      <c r="F323" t="inlineStr">
        <is>
          <t>SKÅNE LÄN</t>
        </is>
      </c>
      <c r="G323" t="inlineStr">
        <is>
          <t>OSBY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46286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46286</v>
      </c>
      <c r="F325" t="inlineStr">
        <is>
          <t>SKÅNE LÄN</t>
        </is>
      </c>
      <c r="G325" t="inlineStr">
        <is>
          <t>OSBY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44610</v>
      </c>
      <c r="E326" s="1" t="n">
        <v>46286</v>
      </c>
      <c r="F326" t="inlineStr">
        <is>
          <t>SKÅNE LÄN</t>
        </is>
      </c>
      <c r="G326" t="inlineStr">
        <is>
          <t>OSBY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45443</v>
      </c>
      <c r="E327" s="1" t="n">
        <v>46286</v>
      </c>
      <c r="F327" t="inlineStr">
        <is>
          <t>SKÅNE LÄN</t>
        </is>
      </c>
      <c r="G327" t="inlineStr">
        <is>
          <t>OSBY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46286</v>
      </c>
      <c r="F328" t="inlineStr">
        <is>
          <t>SKÅNE LÄN</t>
        </is>
      </c>
      <c r="G328" t="inlineStr">
        <is>
          <t>OSBY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45503</v>
      </c>
      <c r="E329" s="1" t="n">
        <v>46286</v>
      </c>
      <c r="F329" t="inlineStr">
        <is>
          <t>SKÅNE LÄN</t>
        </is>
      </c>
      <c r="G329" t="inlineStr">
        <is>
          <t>OSBY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45448</v>
      </c>
      <c r="E330" s="1" t="n">
        <v>46286</v>
      </c>
      <c r="F330" t="inlineStr">
        <is>
          <t>SKÅNE LÄN</t>
        </is>
      </c>
      <c r="G330" t="inlineStr">
        <is>
          <t>OSBY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46286</v>
      </c>
      <c r="F331" t="inlineStr">
        <is>
          <t>SKÅNE LÄN</t>
        </is>
      </c>
      <c r="G331" t="inlineStr">
        <is>
          <t>OSBY</t>
        </is>
      </c>
      <c r="H331" t="inlineStr">
        <is>
          <t>Kommuner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44997</v>
      </c>
      <c r="E332" s="1" t="n">
        <v>46286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45259</v>
      </c>
      <c r="E333" s="1" t="n">
        <v>46286</v>
      </c>
      <c r="F333" t="inlineStr">
        <is>
          <t>SKÅNE LÄN</t>
        </is>
      </c>
      <c r="G333" t="inlineStr">
        <is>
          <t>OSBY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46286</v>
      </c>
      <c r="F334" t="inlineStr">
        <is>
          <t>SKÅNE LÄN</t>
        </is>
      </c>
      <c r="G334" t="inlineStr">
        <is>
          <t>OSBY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46286</v>
      </c>
      <c r="F335" t="inlineStr">
        <is>
          <t>SKÅNE LÄN</t>
        </is>
      </c>
      <c r="G335" t="inlineStr">
        <is>
          <t>OSBY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46286</v>
      </c>
      <c r="F336" t="inlineStr">
        <is>
          <t>SKÅNE LÄN</t>
        </is>
      </c>
      <c r="G336" t="inlineStr">
        <is>
          <t>OSBY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46286</v>
      </c>
      <c r="F337" t="inlineStr">
        <is>
          <t>SKÅNE LÄN</t>
        </is>
      </c>
      <c r="G337" t="inlineStr">
        <is>
          <t>OSBY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48582-2023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46286</v>
      </c>
      <c r="F338" t="inlineStr">
        <is>
          <t>SKÅNE LÄN</t>
        </is>
      </c>
      <c r="G338" t="inlineStr">
        <is>
          <t>OSBY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46286</v>
      </c>
      <c r="F339" t="inlineStr">
        <is>
          <t>SKÅNE LÄN</t>
        </is>
      </c>
      <c r="G339" t="inlineStr">
        <is>
          <t>OSBY</t>
        </is>
      </c>
      <c r="H339" t="inlineStr">
        <is>
          <t>Kommuner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45239</v>
      </c>
      <c r="E340" s="1" t="n">
        <v>46286</v>
      </c>
      <c r="F340" t="inlineStr">
        <is>
          <t>SKÅNE LÄN</t>
        </is>
      </c>
      <c r="G340" t="inlineStr">
        <is>
          <t>OSBY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46002</v>
      </c>
      <c r="E341" s="1" t="n">
        <v>46286</v>
      </c>
      <c r="F341" t="inlineStr">
        <is>
          <t>SKÅNE LÄN</t>
        </is>
      </c>
      <c r="G341" t="inlineStr">
        <is>
          <t>OSBY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46286</v>
      </c>
      <c r="F342" t="inlineStr">
        <is>
          <t>SKÅNE LÄN</t>
        </is>
      </c>
      <c r="G342" t="inlineStr">
        <is>
          <t>OSBY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46286</v>
      </c>
      <c r="F343" t="inlineStr">
        <is>
          <t>SKÅNE LÄN</t>
        </is>
      </c>
      <c r="G343" t="inlineStr">
        <is>
          <t>OSBY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46286</v>
      </c>
      <c r="F344" t="inlineStr">
        <is>
          <t>SKÅNE LÄN</t>
        </is>
      </c>
      <c r="G344" t="inlineStr">
        <is>
          <t>OSBY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46286</v>
      </c>
      <c r="F345" t="inlineStr">
        <is>
          <t>SKÅNE LÄN</t>
        </is>
      </c>
      <c r="G345" t="inlineStr">
        <is>
          <t>OSBY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45371</v>
      </c>
      <c r="E346" s="1" t="n">
        <v>46286</v>
      </c>
      <c r="F346" t="inlineStr">
        <is>
          <t>SKÅNE LÄN</t>
        </is>
      </c>
      <c r="G346" t="inlineStr">
        <is>
          <t>OSBY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46286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46286</v>
      </c>
      <c r="F348" t="inlineStr">
        <is>
          <t>SKÅNE LÄN</t>
        </is>
      </c>
      <c r="G348" t="inlineStr">
        <is>
          <t>OSBY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46286</v>
      </c>
      <c r="F349" t="inlineStr">
        <is>
          <t>SKÅNE LÄN</t>
        </is>
      </c>
      <c r="G349" t="inlineStr">
        <is>
          <t>OSBY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46286</v>
      </c>
      <c r="F350" t="inlineStr">
        <is>
          <t>SKÅNE LÄN</t>
        </is>
      </c>
      <c r="G350" t="inlineStr">
        <is>
          <t>OSBY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46286</v>
      </c>
      <c r="F351" t="inlineStr">
        <is>
          <t>SKÅNE LÄN</t>
        </is>
      </c>
      <c r="G351" t="inlineStr">
        <is>
          <t>OSBY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46286</v>
      </c>
      <c r="F352" t="inlineStr">
        <is>
          <t>SKÅNE LÄN</t>
        </is>
      </c>
      <c r="G352" t="inlineStr">
        <is>
          <t>OSBY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46286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46286</v>
      </c>
      <c r="F354" t="inlineStr">
        <is>
          <t>SKÅNE LÄN</t>
        </is>
      </c>
      <c r="G354" t="inlineStr">
        <is>
          <t>OSBY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46020</v>
      </c>
      <c r="E355" s="1" t="n">
        <v>46286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46286</v>
      </c>
      <c r="F356" t="inlineStr">
        <is>
          <t>SKÅNE LÄN</t>
        </is>
      </c>
      <c r="G356" t="inlineStr">
        <is>
          <t>OSBY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38485-2023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46286</v>
      </c>
      <c r="F357" t="inlineStr">
        <is>
          <t>SKÅNE LÄN</t>
        </is>
      </c>
      <c r="G357" t="inlineStr">
        <is>
          <t>OSBY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46286</v>
      </c>
      <c r="F358" t="inlineStr">
        <is>
          <t>SKÅNE LÄN</t>
        </is>
      </c>
      <c r="G358" t="inlineStr">
        <is>
          <t>OSBY</t>
        </is>
      </c>
      <c r="H358" t="inlineStr">
        <is>
          <t>Kyrkan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57218-2022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44895</v>
      </c>
      <c r="E359" s="1" t="n">
        <v>46286</v>
      </c>
      <c r="F359" t="inlineStr">
        <is>
          <t>SKÅNE LÄN</t>
        </is>
      </c>
      <c r="G359" t="inlineStr">
        <is>
          <t>OSBY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46286</v>
      </c>
      <c r="F360" t="inlineStr">
        <is>
          <t>SKÅNE LÄN</t>
        </is>
      </c>
      <c r="G360" t="inlineStr">
        <is>
          <t>OSBY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45446</v>
      </c>
      <c r="E361" s="1" t="n">
        <v>46286</v>
      </c>
      <c r="F361" t="inlineStr">
        <is>
          <t>SKÅNE LÄN</t>
        </is>
      </c>
      <c r="G361" t="inlineStr">
        <is>
          <t>OSBY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46286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46286</v>
      </c>
      <c r="F363" t="inlineStr">
        <is>
          <t>SKÅNE LÄN</t>
        </is>
      </c>
      <c r="G363" t="inlineStr">
        <is>
          <t>OSBY</t>
        </is>
      </c>
      <c r="H363" t="inlineStr">
        <is>
          <t>Kyrkan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46286</v>
      </c>
      <c r="F364" t="inlineStr">
        <is>
          <t>SKÅNE LÄN</t>
        </is>
      </c>
      <c r="G364" t="inlineStr">
        <is>
          <t>OSBY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46286</v>
      </c>
      <c r="F365" t="inlineStr">
        <is>
          <t>SKÅNE LÄN</t>
        </is>
      </c>
      <c r="G365" t="inlineStr">
        <is>
          <t>OSBY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46286</v>
      </c>
      <c r="F366" t="inlineStr">
        <is>
          <t>SKÅNE LÄN</t>
        </is>
      </c>
      <c r="G366" t="inlineStr">
        <is>
          <t>OSBY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44951</v>
      </c>
      <c r="E367" s="1" t="n">
        <v>46286</v>
      </c>
      <c r="F367" t="inlineStr">
        <is>
          <t>SKÅNE LÄN</t>
        </is>
      </c>
      <c r="G367" t="inlineStr">
        <is>
          <t>OSBY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46286</v>
      </c>
      <c r="F368" t="inlineStr">
        <is>
          <t>SKÅNE LÄN</t>
        </is>
      </c>
      <c r="G368" t="inlineStr">
        <is>
          <t>OSBY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44873</v>
      </c>
      <c r="E369" s="1" t="n">
        <v>46286</v>
      </c>
      <c r="F369" t="inlineStr">
        <is>
          <t>SKÅNE LÄN</t>
        </is>
      </c>
      <c r="G369" t="inlineStr">
        <is>
          <t>OSBY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45063</v>
      </c>
      <c r="E370" s="1" t="n">
        <v>46286</v>
      </c>
      <c r="F370" t="inlineStr">
        <is>
          <t>SKÅNE LÄN</t>
        </is>
      </c>
      <c r="G370" t="inlineStr">
        <is>
          <t>OSBY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74033-2021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44557</v>
      </c>
      <c r="E371" s="1" t="n">
        <v>46286</v>
      </c>
      <c r="F371" t="inlineStr">
        <is>
          <t>SKÅNE LÄN</t>
        </is>
      </c>
      <c r="G371" t="inlineStr">
        <is>
          <t>OSBY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45436</v>
      </c>
      <c r="E372" s="1" t="n">
        <v>46286</v>
      </c>
      <c r="F372" t="inlineStr">
        <is>
          <t>SKÅNE LÄN</t>
        </is>
      </c>
      <c r="G372" t="inlineStr">
        <is>
          <t>OSBY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58747-2024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45635</v>
      </c>
      <c r="E373" s="1" t="n">
        <v>46286</v>
      </c>
      <c r="F373" t="inlineStr">
        <is>
          <t>SKÅNE LÄN</t>
        </is>
      </c>
      <c r="G373" t="inlineStr">
        <is>
          <t>OSBY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45079</v>
      </c>
      <c r="E374" s="1" t="n">
        <v>46286</v>
      </c>
      <c r="F374" t="inlineStr">
        <is>
          <t>SKÅNE LÄN</t>
        </is>
      </c>
      <c r="G374" t="inlineStr">
        <is>
          <t>OSBY</t>
        </is>
      </c>
      <c r="H374" t="inlineStr">
        <is>
          <t>Kommuner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45002</v>
      </c>
      <c r="E375" s="1" t="n">
        <v>46286</v>
      </c>
      <c r="F375" t="inlineStr">
        <is>
          <t>SKÅNE LÄN</t>
        </is>
      </c>
      <c r="G375" t="inlineStr">
        <is>
          <t>OSBY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46176</v>
      </c>
      <c r="E376" s="1" t="n">
        <v>46286</v>
      </c>
      <c r="F376" t="inlineStr">
        <is>
          <t>SKÅNE LÄN</t>
        </is>
      </c>
      <c r="G376" t="inlineStr">
        <is>
          <t>OSBY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25149-2026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46175</v>
      </c>
      <c r="E377" s="1" t="n">
        <v>46286</v>
      </c>
      <c r="F377" t="inlineStr">
        <is>
          <t>SKÅNE LÄN</t>
        </is>
      </c>
      <c r="G377" t="inlineStr">
        <is>
          <t>OSBY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45097</v>
      </c>
      <c r="E378" s="1" t="n">
        <v>46286</v>
      </c>
      <c r="F378" t="inlineStr">
        <is>
          <t>SKÅNE LÄN</t>
        </is>
      </c>
      <c r="G378" t="inlineStr">
        <is>
          <t>OSBY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46286</v>
      </c>
      <c r="F379" t="inlineStr">
        <is>
          <t>SKÅNE LÄN</t>
        </is>
      </c>
      <c r="G379" t="inlineStr">
        <is>
          <t>OSBY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46286</v>
      </c>
      <c r="F380" t="inlineStr">
        <is>
          <t>SKÅNE LÄN</t>
        </is>
      </c>
      <c r="G380" t="inlineStr">
        <is>
          <t>OSBY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46180</v>
      </c>
      <c r="E381" s="1" t="n">
        <v>46286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46286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46286</v>
      </c>
      <c r="F383" t="inlineStr">
        <is>
          <t>SKÅNE LÄN</t>
        </is>
      </c>
      <c r="G383" t="inlineStr">
        <is>
          <t>OSBY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45078</v>
      </c>
      <c r="E384" s="1" t="n">
        <v>46286</v>
      </c>
      <c r="F384" t="inlineStr">
        <is>
          <t>SKÅNE LÄN</t>
        </is>
      </c>
      <c r="G384" t="inlineStr">
        <is>
          <t>OSBY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25934-2026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46180</v>
      </c>
      <c r="E385" s="1" t="n">
        <v>46286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46286</v>
      </c>
      <c r="F386" t="inlineStr">
        <is>
          <t>SKÅNE LÄN</t>
        </is>
      </c>
      <c r="G386" t="inlineStr">
        <is>
          <t>OSBY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44921</v>
      </c>
      <c r="E387" s="1" t="n">
        <v>46286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46286</v>
      </c>
      <c r="F388" t="inlineStr">
        <is>
          <t>SKÅNE LÄN</t>
        </is>
      </c>
      <c r="G388" t="inlineStr">
        <is>
          <t>OSBY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46286</v>
      </c>
      <c r="F389" t="inlineStr">
        <is>
          <t>SKÅNE LÄN</t>
        </is>
      </c>
      <c r="G389" t="inlineStr">
        <is>
          <t>OSBY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35986-2022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44802</v>
      </c>
      <c r="E390" s="1" t="n">
        <v>46286</v>
      </c>
      <c r="F390" t="inlineStr">
        <is>
          <t>SKÅNE LÄN</t>
        </is>
      </c>
      <c r="G390" t="inlineStr">
        <is>
          <t>OSBY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46286</v>
      </c>
      <c r="F391" t="inlineStr">
        <is>
          <t>SKÅNE LÄN</t>
        </is>
      </c>
      <c r="G391" t="inlineStr">
        <is>
          <t>OSBY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45733</v>
      </c>
      <c r="E392" s="1" t="n">
        <v>46286</v>
      </c>
      <c r="F392" t="inlineStr">
        <is>
          <t>SKÅNE LÄN</t>
        </is>
      </c>
      <c r="G392" t="inlineStr">
        <is>
          <t>OSBY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46286</v>
      </c>
      <c r="F393" t="inlineStr">
        <is>
          <t>SKÅNE LÄN</t>
        </is>
      </c>
      <c r="G393" t="inlineStr">
        <is>
          <t>OSBY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46286</v>
      </c>
      <c r="F394" t="inlineStr">
        <is>
          <t>SKÅNE LÄN</t>
        </is>
      </c>
      <c r="G394" t="inlineStr">
        <is>
          <t>OSBY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46286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63077-2021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44505</v>
      </c>
      <c r="E396" s="1" t="n">
        <v>46286</v>
      </c>
      <c r="F396" t="inlineStr">
        <is>
          <t>SKÅNE LÄN</t>
        </is>
      </c>
      <c r="G396" t="inlineStr">
        <is>
          <t>OSBY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46183</v>
      </c>
      <c r="E397" s="1" t="n">
        <v>46286</v>
      </c>
      <c r="F397" t="inlineStr">
        <is>
          <t>SKÅNE LÄN</t>
        </is>
      </c>
      <c r="G397" t="inlineStr">
        <is>
          <t>OSBY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46286</v>
      </c>
      <c r="F398" t="inlineStr">
        <is>
          <t>SKÅNE LÄN</t>
        </is>
      </c>
      <c r="G398" t="inlineStr">
        <is>
          <t>OSBY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46286</v>
      </c>
      <c r="F399" t="inlineStr">
        <is>
          <t>SKÅNE LÄN</t>
        </is>
      </c>
      <c r="G399" t="inlineStr">
        <is>
          <t>OSBY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46286</v>
      </c>
      <c r="F400" t="inlineStr">
        <is>
          <t>SKÅNE LÄN</t>
        </is>
      </c>
      <c r="G400" t="inlineStr">
        <is>
          <t>OSBY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45147</v>
      </c>
      <c r="E401" s="1" t="n">
        <v>46286</v>
      </c>
      <c r="F401" t="inlineStr">
        <is>
          <t>SKÅNE LÄN</t>
        </is>
      </c>
      <c r="G401" t="inlineStr">
        <is>
          <t>OSBY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46089</v>
      </c>
      <c r="E402" s="1" t="n">
        <v>46286</v>
      </c>
      <c r="F402" t="inlineStr">
        <is>
          <t>SKÅNE LÄN</t>
        </is>
      </c>
      <c r="G402" t="inlineStr">
        <is>
          <t>OSBY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46089</v>
      </c>
      <c r="E403" s="1" t="n">
        <v>46286</v>
      </c>
      <c r="F403" t="inlineStr">
        <is>
          <t>SKÅNE LÄN</t>
        </is>
      </c>
      <c r="G403" t="inlineStr">
        <is>
          <t>OSBY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45216</v>
      </c>
      <c r="E404" s="1" t="n">
        <v>46286</v>
      </c>
      <c r="F404" t="inlineStr">
        <is>
          <t>SKÅNE LÄN</t>
        </is>
      </c>
      <c r="G404" t="inlineStr">
        <is>
          <t>OSBY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66984-2021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44522</v>
      </c>
      <c r="E405" s="1" t="n">
        <v>46286</v>
      </c>
      <c r="F405" t="inlineStr">
        <is>
          <t>SKÅNE LÄN</t>
        </is>
      </c>
      <c r="G405" t="inlineStr">
        <is>
          <t>OSBY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45195</v>
      </c>
      <c r="E406" s="1" t="n">
        <v>46286</v>
      </c>
      <c r="F406" t="inlineStr">
        <is>
          <t>SKÅNE LÄN</t>
        </is>
      </c>
      <c r="G406" t="inlineStr">
        <is>
          <t>OSBY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46286</v>
      </c>
      <c r="F407" t="inlineStr">
        <is>
          <t>SKÅNE LÄN</t>
        </is>
      </c>
      <c r="G407" t="inlineStr">
        <is>
          <t>OSBY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11808-2024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45375</v>
      </c>
      <c r="E408" s="1" t="n">
        <v>46286</v>
      </c>
      <c r="F408" t="inlineStr">
        <is>
          <t>SKÅNE LÄN</t>
        </is>
      </c>
      <c r="G408" t="inlineStr">
        <is>
          <t>OSBY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45572</v>
      </c>
      <c r="E409" s="1" t="n">
        <v>46286</v>
      </c>
      <c r="F409" t="inlineStr">
        <is>
          <t>SKÅNE LÄN</t>
        </is>
      </c>
      <c r="G409" t="inlineStr">
        <is>
          <t>OSBY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46286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46286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46286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46286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46286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46286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46286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46286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46286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46286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46286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46286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46286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46286</v>
      </c>
      <c r="F423" t="inlineStr">
        <is>
          <t>SKÅNE LÄN</t>
        </is>
      </c>
      <c r="G423" t="inlineStr">
        <is>
          <t>OSBY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46286</v>
      </c>
      <c r="F424" t="inlineStr">
        <is>
          <t>SKÅNE LÄN</t>
        </is>
      </c>
      <c r="G424" t="inlineStr">
        <is>
          <t>OSBY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45390</v>
      </c>
      <c r="E425" s="1" t="n">
        <v>46286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45588</v>
      </c>
      <c r="E426" s="1" t="n">
        <v>46286</v>
      </c>
      <c r="F426" t="inlineStr">
        <is>
          <t>SKÅNE LÄN</t>
        </is>
      </c>
      <c r="G426" t="inlineStr">
        <is>
          <t>OSBY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46286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46286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45573</v>
      </c>
      <c r="E429" s="1" t="n">
        <v>46286</v>
      </c>
      <c r="F429" t="inlineStr">
        <is>
          <t>SKÅNE LÄN</t>
        </is>
      </c>
      <c r="G429" t="inlineStr">
        <is>
          <t>OSBY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45016</v>
      </c>
      <c r="E430" s="1" t="n">
        <v>46286</v>
      </c>
      <c r="F430" t="inlineStr">
        <is>
          <t>SKÅNE LÄN</t>
        </is>
      </c>
      <c r="G430" t="inlineStr">
        <is>
          <t>OSBY</t>
        </is>
      </c>
      <c r="H430" t="inlineStr">
        <is>
          <t>Naturvårdsverket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46286</v>
      </c>
      <c r="F431" t="inlineStr">
        <is>
          <t>SKÅNE LÄN</t>
        </is>
      </c>
      <c r="G431" t="inlineStr">
        <is>
          <t>OSBY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11555-2022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44631</v>
      </c>
      <c r="E432" s="1" t="n">
        <v>46286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46200</v>
      </c>
      <c r="E433" s="1" t="n">
        <v>46286</v>
      </c>
      <c r="F433" t="inlineStr">
        <is>
          <t>SKÅNE LÄN</t>
        </is>
      </c>
      <c r="G433" t="inlineStr">
        <is>
          <t>OSBY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45341</v>
      </c>
      <c r="E434" s="1" t="n">
        <v>46286</v>
      </c>
      <c r="F434" t="inlineStr">
        <is>
          <t>SKÅNE LÄN</t>
        </is>
      </c>
      <c r="G434" t="inlineStr">
        <is>
          <t>OSBY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45362</v>
      </c>
      <c r="E435" s="1" t="n">
        <v>46286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46286</v>
      </c>
      <c r="F436" t="inlineStr">
        <is>
          <t>SKÅNE LÄN</t>
        </is>
      </c>
      <c r="G436" t="inlineStr">
        <is>
          <t>OSBY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46286</v>
      </c>
      <c r="F437" t="inlineStr">
        <is>
          <t>SKÅNE LÄN</t>
        </is>
      </c>
      <c r="G437" t="inlineStr">
        <is>
          <t>OSBY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45177</v>
      </c>
      <c r="E438" s="1" t="n">
        <v>46286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45377</v>
      </c>
      <c r="E439" s="1" t="n">
        <v>46286</v>
      </c>
      <c r="F439" t="inlineStr">
        <is>
          <t>SKÅNE LÄN</t>
        </is>
      </c>
      <c r="G439" t="inlineStr">
        <is>
          <t>OSBY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46286</v>
      </c>
      <c r="F440" t="inlineStr">
        <is>
          <t>SKÅNE LÄN</t>
        </is>
      </c>
      <c r="G440" t="inlineStr">
        <is>
          <t>OSBY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46286</v>
      </c>
      <c r="F441" t="inlineStr">
        <is>
          <t>SKÅNE LÄN</t>
        </is>
      </c>
      <c r="G441" t="inlineStr">
        <is>
          <t>OSBY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46286</v>
      </c>
      <c r="F442" t="inlineStr">
        <is>
          <t>SKÅNE LÄN</t>
        </is>
      </c>
      <c r="G442" t="inlineStr">
        <is>
          <t>OSBY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46286</v>
      </c>
      <c r="F443" t="inlineStr">
        <is>
          <t>SKÅNE LÄN</t>
        </is>
      </c>
      <c r="G443" t="inlineStr">
        <is>
          <t>OSBY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45471</v>
      </c>
      <c r="E444" s="1" t="n">
        <v>46286</v>
      </c>
      <c r="F444" t="inlineStr">
        <is>
          <t>SKÅNE LÄN</t>
        </is>
      </c>
      <c r="G444" t="inlineStr">
        <is>
          <t>OSBY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46286</v>
      </c>
      <c r="F445" t="inlineStr">
        <is>
          <t>SKÅNE LÄN</t>
        </is>
      </c>
      <c r="G445" t="inlineStr">
        <is>
          <t>OSBY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46286</v>
      </c>
      <c r="F446" t="inlineStr">
        <is>
          <t>SKÅNE LÄN</t>
        </is>
      </c>
      <c r="G446" t="inlineStr">
        <is>
          <t>OSBY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46286</v>
      </c>
      <c r="F447" t="inlineStr">
        <is>
          <t>SKÅNE LÄN</t>
        </is>
      </c>
      <c r="G447" t="inlineStr">
        <is>
          <t>OSBY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46286</v>
      </c>
      <c r="F448" t="inlineStr">
        <is>
          <t>SKÅNE LÄN</t>
        </is>
      </c>
      <c r="G448" t="inlineStr">
        <is>
          <t>OSBY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46286</v>
      </c>
      <c r="F449" t="inlineStr">
        <is>
          <t>SKÅNE LÄN</t>
        </is>
      </c>
      <c r="G449" t="inlineStr">
        <is>
          <t>OSBY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10967-2024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46286</v>
      </c>
      <c r="F450" t="inlineStr">
        <is>
          <t>SKÅNE LÄN</t>
        </is>
      </c>
      <c r="G450" t="inlineStr">
        <is>
          <t>OSBY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46286</v>
      </c>
      <c r="F451" t="inlineStr">
        <is>
          <t>SKÅNE LÄN</t>
        </is>
      </c>
      <c r="G451" t="inlineStr">
        <is>
          <t>OSBY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74050-2021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44557</v>
      </c>
      <c r="E452" s="1" t="n">
        <v>46286</v>
      </c>
      <c r="F452" t="inlineStr">
        <is>
          <t>SKÅNE LÄN</t>
        </is>
      </c>
      <c r="G452" t="inlineStr">
        <is>
          <t>OSBY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46286</v>
      </c>
      <c r="F453" t="inlineStr">
        <is>
          <t>SKÅNE LÄN</t>
        </is>
      </c>
      <c r="G453" t="inlineStr">
        <is>
          <t>OSBY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44935</v>
      </c>
      <c r="E454" s="1" t="n">
        <v>46286</v>
      </c>
      <c r="F454" t="inlineStr">
        <is>
          <t>SKÅNE LÄN</t>
        </is>
      </c>
      <c r="G454" t="inlineStr">
        <is>
          <t>OSBY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46286</v>
      </c>
      <c r="F455" t="inlineStr">
        <is>
          <t>SKÅNE LÄN</t>
        </is>
      </c>
      <c r="G455" t="inlineStr">
        <is>
          <t>OSBY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46286</v>
      </c>
      <c r="F456" t="inlineStr">
        <is>
          <t>SKÅNE LÄN</t>
        </is>
      </c>
      <c r="G456" t="inlineStr">
        <is>
          <t>OSBY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9840-2022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44620</v>
      </c>
      <c r="E457" s="1" t="n">
        <v>46286</v>
      </c>
      <c r="F457" t="inlineStr">
        <is>
          <t>SKÅNE LÄN</t>
        </is>
      </c>
      <c r="G457" t="inlineStr">
        <is>
          <t>OSBY</t>
        </is>
      </c>
      <c r="H457" t="inlineStr">
        <is>
          <t>Kommuner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9840-2022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44620</v>
      </c>
      <c r="E458" s="1" t="n">
        <v>46286</v>
      </c>
      <c r="F458" t="inlineStr">
        <is>
          <t>SKÅNE LÄN</t>
        </is>
      </c>
      <c r="G458" t="inlineStr">
        <is>
          <t>OSBY</t>
        </is>
      </c>
      <c r="H458" t="inlineStr">
        <is>
          <t>Kommuner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52857-2022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44872</v>
      </c>
      <c r="E459" s="1" t="n">
        <v>46286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42793-2025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45908</v>
      </c>
      <c r="E460" s="1" t="n">
        <v>46286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59245-2025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46286</v>
      </c>
      <c r="F461" t="inlineStr">
        <is>
          <t>SKÅNE LÄN</t>
        </is>
      </c>
      <c r="G461" t="inlineStr">
        <is>
          <t>OSBY</t>
        </is>
      </c>
      <c r="I461" t="n">
        <v>7.7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45071</v>
      </c>
      <c r="E462" s="1" t="n">
        <v>46286</v>
      </c>
      <c r="F462" t="inlineStr">
        <is>
          <t>SKÅNE LÄN</t>
        </is>
      </c>
      <c r="G462" t="inlineStr">
        <is>
          <t>OSBY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45217</v>
      </c>
      <c r="E463" s="1" t="n">
        <v>46286</v>
      </c>
      <c r="F463" t="inlineStr">
        <is>
          <t>SKÅNE LÄN</t>
        </is>
      </c>
      <c r="G463" t="inlineStr">
        <is>
          <t>OSBY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58337-2021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44487</v>
      </c>
      <c r="E464" s="1" t="n">
        <v>46286</v>
      </c>
      <c r="F464" t="inlineStr">
        <is>
          <t>SKÅNE LÄN</t>
        </is>
      </c>
      <c r="G464" t="inlineStr">
        <is>
          <t>OSBY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44949</v>
      </c>
      <c r="E465" s="1" t="n">
        <v>46286</v>
      </c>
      <c r="F465" t="inlineStr">
        <is>
          <t>SKÅNE LÄN</t>
        </is>
      </c>
      <c r="G465" t="inlineStr">
        <is>
          <t>OSBY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46286</v>
      </c>
      <c r="F466" t="inlineStr">
        <is>
          <t>SKÅNE LÄN</t>
        </is>
      </c>
      <c r="G466" t="inlineStr">
        <is>
          <t>OSBY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45715</v>
      </c>
      <c r="E467" s="1" t="n">
        <v>46286</v>
      </c>
      <c r="F467" t="inlineStr">
        <is>
          <t>SKÅNE LÄN</t>
        </is>
      </c>
      <c r="G467" t="inlineStr">
        <is>
          <t>OSBY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46247</v>
      </c>
      <c r="E468" s="1" t="n">
        <v>46286</v>
      </c>
      <c r="F468" t="inlineStr">
        <is>
          <t>SKÅNE LÄN</t>
        </is>
      </c>
      <c r="G468" t="inlineStr">
        <is>
          <t>OSBY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46286</v>
      </c>
      <c r="F469" t="inlineStr">
        <is>
          <t>SKÅNE LÄN</t>
        </is>
      </c>
      <c r="G469" t="inlineStr">
        <is>
          <t>OSBY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45688</v>
      </c>
      <c r="E470" s="1" t="n">
        <v>46286</v>
      </c>
      <c r="F470" t="inlineStr">
        <is>
          <t>SKÅNE LÄN</t>
        </is>
      </c>
      <c r="G470" t="inlineStr">
        <is>
          <t>OSBY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45141</v>
      </c>
      <c r="E471" s="1" t="n">
        <v>46286</v>
      </c>
      <c r="F471" t="inlineStr">
        <is>
          <t>SKÅNE LÄN</t>
        </is>
      </c>
      <c r="G471" t="inlineStr">
        <is>
          <t>OSBY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46286</v>
      </c>
      <c r="F472" t="inlineStr">
        <is>
          <t>SKÅNE LÄN</t>
        </is>
      </c>
      <c r="G472" t="inlineStr">
        <is>
          <t>OSBY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46286</v>
      </c>
      <c r="F473" t="inlineStr">
        <is>
          <t>SKÅNE LÄN</t>
        </is>
      </c>
      <c r="G473" t="inlineStr">
        <is>
          <t>OSBY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45546</v>
      </c>
      <c r="E474" s="1" t="n">
        <v>46286</v>
      </c>
      <c r="F474" t="inlineStr">
        <is>
          <t>SKÅNE LÄN</t>
        </is>
      </c>
      <c r="G474" t="inlineStr">
        <is>
          <t>OSBY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6968-2022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44603</v>
      </c>
      <c r="E475" s="1" t="n">
        <v>46286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46286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11048-2025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45723</v>
      </c>
      <c r="E477" s="1" t="n">
        <v>46286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44823</v>
      </c>
      <c r="E478" s="1" t="n">
        <v>46286</v>
      </c>
      <c r="F478" t="inlineStr">
        <is>
          <t>SKÅNE LÄN</t>
        </is>
      </c>
      <c r="G478" t="inlineStr">
        <is>
          <t>OSBY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45630</v>
      </c>
      <c r="E479" s="1" t="n">
        <v>46286</v>
      </c>
      <c r="F479" t="inlineStr">
        <is>
          <t>SKÅNE LÄN</t>
        </is>
      </c>
      <c r="G479" t="inlineStr">
        <is>
          <t>OSBY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8382-2022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44610</v>
      </c>
      <c r="E480" s="1" t="n">
        <v>46286</v>
      </c>
      <c r="F480" t="inlineStr">
        <is>
          <t>SKÅNE LÄN</t>
        </is>
      </c>
      <c r="G480" t="inlineStr">
        <is>
          <t>OSBY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69093-2021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44530</v>
      </c>
      <c r="E481" s="1" t="n">
        <v>46286</v>
      </c>
      <c r="F481" t="inlineStr">
        <is>
          <t>SKÅNE LÄN</t>
        </is>
      </c>
      <c r="G481" t="inlineStr">
        <is>
          <t>OSBY</t>
        </is>
      </c>
      <c r="H481" t="inlineStr">
        <is>
          <t>Kommuner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45483</v>
      </c>
      <c r="E482" s="1" t="n">
        <v>46286</v>
      </c>
      <c r="F482" t="inlineStr">
        <is>
          <t>SKÅNE LÄN</t>
        </is>
      </c>
      <c r="G482" t="inlineStr">
        <is>
          <t>OSBY</t>
        </is>
      </c>
      <c r="H482" t="inlineStr">
        <is>
          <t>Kommuner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46286</v>
      </c>
      <c r="F483" t="inlineStr">
        <is>
          <t>SKÅNE LÄN</t>
        </is>
      </c>
      <c r="G483" t="inlineStr">
        <is>
          <t>OSBY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59675-2023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45255</v>
      </c>
      <c r="E484" s="1" t="n">
        <v>46286</v>
      </c>
      <c r="F484" t="inlineStr">
        <is>
          <t>SKÅNE LÄN</t>
        </is>
      </c>
      <c r="G484" t="inlineStr">
        <is>
          <t>OSBY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45117</v>
      </c>
      <c r="E485" s="1" t="n">
        <v>46286</v>
      </c>
      <c r="F485" t="inlineStr">
        <is>
          <t>SKÅNE LÄN</t>
        </is>
      </c>
      <c r="G485" t="inlineStr">
        <is>
          <t>OSBY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45537</v>
      </c>
      <c r="E486" s="1" t="n">
        <v>46286</v>
      </c>
      <c r="F486" t="inlineStr">
        <is>
          <t>SKÅNE LÄN</t>
        </is>
      </c>
      <c r="G486" t="inlineStr">
        <is>
          <t>OSBY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44804</v>
      </c>
      <c r="E487" s="1" t="n">
        <v>46286</v>
      </c>
      <c r="F487" t="inlineStr">
        <is>
          <t>SKÅNE LÄN</t>
        </is>
      </c>
      <c r="G487" t="inlineStr">
        <is>
          <t>OSBY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46286</v>
      </c>
      <c r="F488" t="inlineStr">
        <is>
          <t>SKÅNE LÄN</t>
        </is>
      </c>
      <c r="G488" t="inlineStr">
        <is>
          <t>OSBY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45342</v>
      </c>
      <c r="E489" s="1" t="n">
        <v>46286</v>
      </c>
      <c r="F489" t="inlineStr">
        <is>
          <t>SKÅNE LÄN</t>
        </is>
      </c>
      <c r="G489" t="inlineStr">
        <is>
          <t>OSBY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46286</v>
      </c>
      <c r="F490" t="inlineStr">
        <is>
          <t>SKÅNE LÄN</t>
        </is>
      </c>
      <c r="G490" t="inlineStr">
        <is>
          <t>OSBY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22638-2023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45071</v>
      </c>
      <c r="E491" s="1" t="n">
        <v>46286</v>
      </c>
      <c r="F491" t="inlineStr">
        <is>
          <t>SKÅNE LÄN</t>
        </is>
      </c>
      <c r="G491" t="inlineStr">
        <is>
          <t>OSBY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45422</v>
      </c>
      <c r="E492" s="1" t="n">
        <v>46286</v>
      </c>
      <c r="F492" t="inlineStr">
        <is>
          <t>SKÅNE LÄN</t>
        </is>
      </c>
      <c r="G492" t="inlineStr">
        <is>
          <t>OSBY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17537-2022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44679</v>
      </c>
      <c r="E493" s="1" t="n">
        <v>46286</v>
      </c>
      <c r="F493" t="inlineStr">
        <is>
          <t>SKÅNE LÄN</t>
        </is>
      </c>
      <c r="G493" t="inlineStr">
        <is>
          <t>OSBY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45685</v>
      </c>
      <c r="E494" s="1" t="n">
        <v>46286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45105</v>
      </c>
      <c r="E495" s="1" t="n">
        <v>46286</v>
      </c>
      <c r="F495" t="inlineStr">
        <is>
          <t>SKÅNE LÄN</t>
        </is>
      </c>
      <c r="G495" t="inlineStr">
        <is>
          <t>OSBY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46213</v>
      </c>
      <c r="E496" s="1" t="n">
        <v>46286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46286</v>
      </c>
      <c r="F497" t="inlineStr">
        <is>
          <t>SKÅNE LÄN</t>
        </is>
      </c>
      <c r="G497" t="inlineStr">
        <is>
          <t>OSBY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45314</v>
      </c>
      <c r="E498" s="1" t="n">
        <v>46286</v>
      </c>
      <c r="F498" t="inlineStr">
        <is>
          <t>SKÅNE LÄN</t>
        </is>
      </c>
      <c r="G498" t="inlineStr">
        <is>
          <t>OSBY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46213</v>
      </c>
      <c r="E499" s="1" t="n">
        <v>46286</v>
      </c>
      <c r="F499" t="inlineStr">
        <is>
          <t>SKÅNE LÄN</t>
        </is>
      </c>
      <c r="G499" t="inlineStr">
        <is>
          <t>OSBY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46286</v>
      </c>
      <c r="F500" t="inlineStr">
        <is>
          <t>SKÅNE LÄN</t>
        </is>
      </c>
      <c r="G500" t="inlineStr">
        <is>
          <t>OSBY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46286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45255</v>
      </c>
      <c r="E502" s="1" t="n">
        <v>46286</v>
      </c>
      <c r="F502" t="inlineStr">
        <is>
          <t>SKÅNE LÄN</t>
        </is>
      </c>
      <c r="G502" t="inlineStr">
        <is>
          <t>OSBY</t>
        </is>
      </c>
      <c r="I502" t="n">
        <v>15.6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50728-2023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45217</v>
      </c>
      <c r="E503" s="1" t="n">
        <v>46286</v>
      </c>
      <c r="F503" t="inlineStr">
        <is>
          <t>SKÅNE LÄN</t>
        </is>
      </c>
      <c r="G503" t="inlineStr">
        <is>
          <t>OSBY</t>
        </is>
      </c>
      <c r="H503" t="inlineStr">
        <is>
          <t>Kommuner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46286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46286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46286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46286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46286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46286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46286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46286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44902</v>
      </c>
      <c r="E512" s="1" t="n">
        <v>46286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46286</v>
      </c>
      <c r="F513" t="inlineStr">
        <is>
          <t>SKÅNE LÄN</t>
        </is>
      </c>
      <c r="G513" t="inlineStr">
        <is>
          <t>OSBY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46286</v>
      </c>
      <c r="F514" t="inlineStr">
        <is>
          <t>SKÅNE LÄN</t>
        </is>
      </c>
      <c r="G514" t="inlineStr">
        <is>
          <t>OSBY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44957</v>
      </c>
      <c r="E515" s="1" t="n">
        <v>46286</v>
      </c>
      <c r="F515" t="inlineStr">
        <is>
          <t>SKÅNE LÄN</t>
        </is>
      </c>
      <c r="G515" t="inlineStr">
        <is>
          <t>OSBY</t>
        </is>
      </c>
      <c r="I515" t="n">
        <v>9.199999999999999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46286</v>
      </c>
      <c r="F516" t="inlineStr">
        <is>
          <t>SKÅNE LÄN</t>
        </is>
      </c>
      <c r="G516" t="inlineStr">
        <is>
          <t>OSBY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45265</v>
      </c>
      <c r="E517" s="1" t="n">
        <v>46286</v>
      </c>
      <c r="F517" t="inlineStr">
        <is>
          <t>SKÅNE LÄN</t>
        </is>
      </c>
      <c r="G517" t="inlineStr">
        <is>
          <t>OSBY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46286</v>
      </c>
      <c r="F518" t="inlineStr">
        <is>
          <t>SKÅNE LÄN</t>
        </is>
      </c>
      <c r="G518" t="inlineStr">
        <is>
          <t>OSBY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46286</v>
      </c>
      <c r="F519" t="inlineStr">
        <is>
          <t>SKÅNE LÄN</t>
        </is>
      </c>
      <c r="G519" t="inlineStr">
        <is>
          <t>OSBY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46286</v>
      </c>
      <c r="F520" t="inlineStr">
        <is>
          <t>SKÅNE LÄN</t>
        </is>
      </c>
      <c r="G520" t="inlineStr">
        <is>
          <t>OSBY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46286</v>
      </c>
      <c r="F521" t="inlineStr">
        <is>
          <t>SKÅNE LÄN</t>
        </is>
      </c>
      <c r="G521" t="inlineStr">
        <is>
          <t>OSBY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45453</v>
      </c>
      <c r="E522" s="1" t="n">
        <v>46286</v>
      </c>
      <c r="F522" t="inlineStr">
        <is>
          <t>SKÅNE LÄN</t>
        </is>
      </c>
      <c r="G522" t="inlineStr">
        <is>
          <t>OSBY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17649-2023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45035</v>
      </c>
      <c r="E523" s="1" t="n">
        <v>46286</v>
      </c>
      <c r="F523" t="inlineStr">
        <is>
          <t>SKÅNE LÄN</t>
        </is>
      </c>
      <c r="G523" t="inlineStr">
        <is>
          <t>OSBY</t>
        </is>
      </c>
      <c r="I523" t="n">
        <v>11.3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46286</v>
      </c>
      <c r="F524" t="inlineStr">
        <is>
          <t>SKÅNE LÄN</t>
        </is>
      </c>
      <c r="G524" t="inlineStr">
        <is>
          <t>OSBY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20894-2025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46286</v>
      </c>
      <c r="F525" t="inlineStr">
        <is>
          <t>SKÅNE LÄN</t>
        </is>
      </c>
      <c r="G525" t="inlineStr">
        <is>
          <t>OSBY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45782</v>
      </c>
      <c r="E526" s="1" t="n">
        <v>46286</v>
      </c>
      <c r="F526" t="inlineStr">
        <is>
          <t>SKÅNE LÄN</t>
        </is>
      </c>
      <c r="G526" t="inlineStr">
        <is>
          <t>OSBY</t>
        </is>
      </c>
      <c r="I526" t="n">
        <v>15.1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37501-2026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46275</v>
      </c>
      <c r="E527" s="1" t="n">
        <v>46286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57710-2024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46286</v>
      </c>
      <c r="F528" t="inlineStr">
        <is>
          <t>SKÅNE LÄN</t>
        </is>
      </c>
      <c r="G528" t="inlineStr">
        <is>
          <t>OSBY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33254-2024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45518</v>
      </c>
      <c r="E529" s="1" t="n">
        <v>46286</v>
      </c>
      <c r="F529" t="inlineStr">
        <is>
          <t>SKÅNE LÄN</t>
        </is>
      </c>
      <c r="G529" t="inlineStr">
        <is>
          <t>OSBY</t>
        </is>
      </c>
      <c r="H529" t="inlineStr">
        <is>
          <t>Naturvårdsverket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37625-2026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46276</v>
      </c>
      <c r="E530" s="1" t="n">
        <v>46286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46276</v>
      </c>
      <c r="E531" s="1" t="n">
        <v>46286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46286</v>
      </c>
      <c r="F532" t="inlineStr">
        <is>
          <t>SKÅNE LÄN</t>
        </is>
      </c>
      <c r="G532" t="inlineStr">
        <is>
          <t>OSBY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46286</v>
      </c>
      <c r="F533" t="inlineStr">
        <is>
          <t>SKÅNE LÄN</t>
        </is>
      </c>
      <c r="G533" t="inlineStr">
        <is>
          <t>OSBY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46286</v>
      </c>
      <c r="F534" t="inlineStr">
        <is>
          <t>SKÅNE LÄN</t>
        </is>
      </c>
      <c r="G534" t="inlineStr">
        <is>
          <t>OSBY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46286</v>
      </c>
      <c r="F535" t="inlineStr">
        <is>
          <t>SKÅNE LÄN</t>
        </is>
      </c>
      <c r="G535" t="inlineStr">
        <is>
          <t>OSBY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44827</v>
      </c>
      <c r="E536" s="1" t="n">
        <v>46286</v>
      </c>
      <c r="F536" t="inlineStr">
        <is>
          <t>SKÅNE LÄN</t>
        </is>
      </c>
      <c r="G536" t="inlineStr">
        <is>
          <t>OSBY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8208-2025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45708</v>
      </c>
      <c r="E537" s="1" t="n">
        <v>46286</v>
      </c>
      <c r="F537" t="inlineStr">
        <is>
          <t>SKÅNE LÄN</t>
        </is>
      </c>
      <c r="G537" t="inlineStr">
        <is>
          <t>OSBY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13959-2025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45737</v>
      </c>
      <c r="E538" s="1" t="n">
        <v>46286</v>
      </c>
      <c r="F538" t="inlineStr">
        <is>
          <t>SKÅNE LÄN</t>
        </is>
      </c>
      <c r="G538" t="inlineStr">
        <is>
          <t>OSBY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46286</v>
      </c>
      <c r="F539" t="inlineStr">
        <is>
          <t>SKÅNE LÄN</t>
        </is>
      </c>
      <c r="G539" t="inlineStr">
        <is>
          <t>OSBY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45356</v>
      </c>
      <c r="E540" s="1" t="n">
        <v>46286</v>
      </c>
      <c r="F540" t="inlineStr">
        <is>
          <t>SKÅNE LÄN</t>
        </is>
      </c>
      <c r="G540" t="inlineStr">
        <is>
          <t>OSBY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46282</v>
      </c>
      <c r="E541" s="1" t="n">
        <v>46286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25703-2025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45803</v>
      </c>
      <c r="E542" s="1" t="n">
        <v>46286</v>
      </c>
      <c r="F542" t="inlineStr">
        <is>
          <t>SKÅNE LÄN</t>
        </is>
      </c>
      <c r="G542" t="inlineStr">
        <is>
          <t>OSBY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45471</v>
      </c>
      <c r="E543" s="1" t="n">
        <v>46286</v>
      </c>
      <c r="F543" t="inlineStr">
        <is>
          <t>SKÅNE LÄN</t>
        </is>
      </c>
      <c r="G543" t="inlineStr">
        <is>
          <t>OSBY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45553</v>
      </c>
      <c r="E544" s="1" t="n">
        <v>46286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46286</v>
      </c>
      <c r="F545" t="inlineStr">
        <is>
          <t>SKÅNE LÄN</t>
        </is>
      </c>
      <c r="G545" t="inlineStr">
        <is>
          <t>OSBY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46286</v>
      </c>
      <c r="F546" t="inlineStr">
        <is>
          <t>SKÅNE LÄN</t>
        </is>
      </c>
      <c r="G546" t="inlineStr">
        <is>
          <t>OSBY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45805</v>
      </c>
      <c r="E547" s="1" t="n">
        <v>46286</v>
      </c>
      <c r="F547" t="inlineStr">
        <is>
          <t>SKÅNE LÄN</t>
        </is>
      </c>
      <c r="G547" t="inlineStr">
        <is>
          <t>OSBY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58751-2024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45635</v>
      </c>
      <c r="E548" s="1" t="n">
        <v>46286</v>
      </c>
      <c r="F548" t="inlineStr">
        <is>
          <t>SKÅNE LÄN</t>
        </is>
      </c>
      <c r="G548" t="inlineStr">
        <is>
          <t>OSBY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45834</v>
      </c>
      <c r="E549" s="1" t="n">
        <v>46286</v>
      </c>
      <c r="F549" t="inlineStr">
        <is>
          <t>SKÅNE LÄN</t>
        </is>
      </c>
      <c r="G549" t="inlineStr">
        <is>
          <t>OSBY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46286</v>
      </c>
      <c r="F550" t="inlineStr">
        <is>
          <t>SKÅNE LÄN</t>
        </is>
      </c>
      <c r="G550" t="inlineStr">
        <is>
          <t>OSBY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46286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46286</v>
      </c>
      <c r="F552" t="inlineStr">
        <is>
          <t>SKÅNE LÄN</t>
        </is>
      </c>
      <c r="G552" t="inlineStr">
        <is>
          <t>OSBY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45838</v>
      </c>
      <c r="E553" s="1" t="n">
        <v>46286</v>
      </c>
      <c r="F553" t="inlineStr">
        <is>
          <t>SKÅNE LÄN</t>
        </is>
      </c>
      <c r="G553" t="inlineStr">
        <is>
          <t>OSBY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45826</v>
      </c>
      <c r="E554" s="1" t="n">
        <v>46286</v>
      </c>
      <c r="F554" t="inlineStr">
        <is>
          <t>SKÅNE LÄN</t>
        </is>
      </c>
      <c r="G554" t="inlineStr">
        <is>
          <t>OSBY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34053-2025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45845</v>
      </c>
      <c r="E555" s="1" t="n">
        <v>46286</v>
      </c>
      <c r="F555" t="inlineStr">
        <is>
          <t>SKÅNE LÄN</t>
        </is>
      </c>
      <c r="G555" t="inlineStr">
        <is>
          <t>OSBY</t>
        </is>
      </c>
      <c r="I555" t="n">
        <v>11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46286</v>
      </c>
      <c r="F556" t="inlineStr">
        <is>
          <t>SKÅNE LÄN</t>
        </is>
      </c>
      <c r="G556" t="inlineStr">
        <is>
          <t>OSBY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45844</v>
      </c>
      <c r="E557" s="1" t="n">
        <v>46286</v>
      </c>
      <c r="F557" t="inlineStr">
        <is>
          <t>SKÅNE LÄN</t>
        </is>
      </c>
      <c r="G557" t="inlineStr">
        <is>
          <t>OSBY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45744</v>
      </c>
      <c r="E558" s="1" t="n">
        <v>46286</v>
      </c>
      <c r="F558" t="inlineStr">
        <is>
          <t>SKÅNE LÄN</t>
        </is>
      </c>
      <c r="G558" t="inlineStr">
        <is>
          <t>OSBY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46286</v>
      </c>
      <c r="F559" t="inlineStr">
        <is>
          <t>SKÅNE LÄN</t>
        </is>
      </c>
      <c r="G559" t="inlineStr">
        <is>
          <t>OSBY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23479-2024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45453</v>
      </c>
      <c r="E560" s="1" t="n">
        <v>46286</v>
      </c>
      <c r="F560" t="inlineStr">
        <is>
          <t>SKÅNE LÄN</t>
        </is>
      </c>
      <c r="G560" t="inlineStr">
        <is>
          <t>OSBY</t>
        </is>
      </c>
      <c r="H560" t="inlineStr">
        <is>
          <t>Sveaskog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46286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46286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1800-2022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44656</v>
      </c>
      <c r="E563" s="1" t="n">
        <v>46286</v>
      </c>
      <c r="F563" t="inlineStr">
        <is>
          <t>SKÅNE LÄN</t>
        </is>
      </c>
      <c r="G563" t="inlineStr">
        <is>
          <t>OSBY</t>
        </is>
      </c>
      <c r="I563" t="n">
        <v>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2563-2024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45476</v>
      </c>
      <c r="E564" s="1" t="n">
        <v>46286</v>
      </c>
      <c r="F564" t="inlineStr">
        <is>
          <t>SKÅNE LÄN</t>
        </is>
      </c>
      <c r="G564" t="inlineStr">
        <is>
          <t>OSBY</t>
        </is>
      </c>
      <c r="I564" t="n">
        <v>14.2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5546-2022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44837</v>
      </c>
      <c r="E565" s="1" t="n">
        <v>46286</v>
      </c>
      <c r="F565" t="inlineStr">
        <is>
          <t>SKÅNE LÄN</t>
        </is>
      </c>
      <c r="G565" t="inlineStr">
        <is>
          <t>OSBY</t>
        </is>
      </c>
      <c r="I565" t="n">
        <v>20.9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4342-2023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45264</v>
      </c>
      <c r="E566" s="1" t="n">
        <v>46286</v>
      </c>
      <c r="F566" t="inlineStr">
        <is>
          <t>SKÅNE LÄN</t>
        </is>
      </c>
      <c r="G566" t="inlineStr">
        <is>
          <t>OSBY</t>
        </is>
      </c>
      <c r="I566" t="n">
        <v>21.2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45400</v>
      </c>
      <c r="E567" s="1" t="n">
        <v>46286</v>
      </c>
      <c r="F567" t="inlineStr">
        <is>
          <t>SKÅNE LÄN</t>
        </is>
      </c>
      <c r="G567" t="inlineStr">
        <is>
          <t>OSBY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731-2024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45365</v>
      </c>
      <c r="E568" s="1" t="n">
        <v>46286</v>
      </c>
      <c r="F568" t="inlineStr">
        <is>
          <t>SKÅNE LÄN</t>
        </is>
      </c>
      <c r="G568" t="inlineStr">
        <is>
          <t>OSBY</t>
        </is>
      </c>
      <c r="I568" t="n">
        <v>15.3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4466-2023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45272</v>
      </c>
      <c r="E569" s="1" t="n">
        <v>46286</v>
      </c>
      <c r="F569" t="inlineStr">
        <is>
          <t>SKÅNE LÄN</t>
        </is>
      </c>
      <c r="G569" t="inlineStr">
        <is>
          <t>OSBY</t>
        </is>
      </c>
      <c r="I569" t="n">
        <v>28.5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4916-2024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45622</v>
      </c>
      <c r="E570" s="1" t="n">
        <v>46286</v>
      </c>
      <c r="F570" t="inlineStr">
        <is>
          <t>SKÅNE LÄN</t>
        </is>
      </c>
      <c r="G570" t="inlineStr">
        <is>
          <t>OSBY</t>
        </is>
      </c>
      <c r="I570" t="n">
        <v>30.9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4775-2022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46286</v>
      </c>
      <c r="F571" t="inlineStr">
        <is>
          <t>SKÅNE LÄN</t>
        </is>
      </c>
      <c r="G571" t="inlineStr">
        <is>
          <t>OSBY</t>
        </is>
      </c>
      <c r="I571" t="n">
        <v>24.3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4776-2022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46286</v>
      </c>
      <c r="F572" t="inlineStr">
        <is>
          <t>SKÅNE LÄN</t>
        </is>
      </c>
      <c r="G572" t="inlineStr">
        <is>
          <t>OSBY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5209-2022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44820</v>
      </c>
      <c r="E573" s="1" t="n">
        <v>46286</v>
      </c>
      <c r="F573" t="inlineStr">
        <is>
          <t>SKÅNE LÄN</t>
        </is>
      </c>
      <c r="G573" t="inlineStr">
        <is>
          <t>OSBY</t>
        </is>
      </c>
      <c r="I573" t="n">
        <v>55.8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3116-2023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45182</v>
      </c>
      <c r="E574" s="1" t="n">
        <v>46286</v>
      </c>
      <c r="F574" t="inlineStr">
        <is>
          <t>SKÅNE LÄN</t>
        </is>
      </c>
      <c r="G574" t="inlineStr">
        <is>
          <t>OSBY</t>
        </is>
      </c>
      <c r="I574" t="n">
        <v>35.3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4901-2022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44806</v>
      </c>
      <c r="E575" s="1" t="n">
        <v>46286</v>
      </c>
      <c r="F575" t="inlineStr">
        <is>
          <t>SKÅNE LÄN</t>
        </is>
      </c>
      <c r="G575" t="inlineStr">
        <is>
          <t>OSBY</t>
        </is>
      </c>
      <c r="I575" t="n">
        <v>18.5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2068-2024</t>
        </is>
      </c>
      <c r="B576" t="inlineStr">
        <is>
          <t>samrådsanmälan</t>
        </is>
      </c>
      <c r="C576" t="inlineStr">
        <is>
          <t>Dikesrensning</t>
        </is>
      </c>
      <c r="D576" s="1" t="n">
        <v>45453</v>
      </c>
      <c r="E576" s="1" t="n">
        <v>46286</v>
      </c>
      <c r="F576" t="inlineStr">
        <is>
          <t>SKÅNE LÄN</t>
        </is>
      </c>
      <c r="G576" t="inlineStr">
        <is>
          <t>OSBY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263-2023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44952</v>
      </c>
      <c r="E577" s="1" t="n">
        <v>46286</v>
      </c>
      <c r="F577" t="inlineStr">
        <is>
          <t>SKÅNE LÄN</t>
        </is>
      </c>
      <c r="G577" t="inlineStr">
        <is>
          <t>OSBY</t>
        </is>
      </c>
      <c r="I577" t="n">
        <v>23.5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7874-2021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44482</v>
      </c>
      <c r="E578" s="1" t="n">
        <v>46286</v>
      </c>
      <c r="F578" t="inlineStr">
        <is>
          <t>SKÅNE LÄN</t>
        </is>
      </c>
      <c r="G578" t="inlineStr">
        <is>
          <t>OSBY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2418-2023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45124</v>
      </c>
      <c r="E579" s="1" t="n">
        <v>46286</v>
      </c>
      <c r="F579" t="inlineStr">
        <is>
          <t>SKÅNE LÄN</t>
        </is>
      </c>
      <c r="G579" t="inlineStr">
        <is>
          <t>OSBY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566-2024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45350</v>
      </c>
      <c r="E580" s="1" t="n">
        <v>46286</v>
      </c>
      <c r="F580" t="inlineStr">
        <is>
          <t>SKÅNE LÄN</t>
        </is>
      </c>
      <c r="G580" t="inlineStr">
        <is>
          <t>OSBY</t>
        </is>
      </c>
      <c r="I580" t="n">
        <v>17.2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798-2024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45370</v>
      </c>
      <c r="E581" s="1" t="n">
        <v>46286</v>
      </c>
      <c r="F581" t="inlineStr">
        <is>
          <t>SKÅNE LÄN</t>
        </is>
      </c>
      <c r="G581" t="inlineStr">
        <is>
          <t>OSBY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847-2024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45373</v>
      </c>
      <c r="E582" s="1" t="n">
        <v>46286</v>
      </c>
      <c r="F582" t="inlineStr">
        <is>
          <t>SKÅNE LÄN</t>
        </is>
      </c>
      <c r="G582" t="inlineStr">
        <is>
          <t>OSBY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4768-2022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44802</v>
      </c>
      <c r="E583" s="1" t="n">
        <v>46286</v>
      </c>
      <c r="F583" t="inlineStr">
        <is>
          <t>SKÅNE LÄN</t>
        </is>
      </c>
      <c r="G583" t="inlineStr">
        <is>
          <t>OSBY</t>
        </is>
      </c>
      <c r="I583" t="n">
        <v>15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1439-2022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44635</v>
      </c>
      <c r="E584" s="1" t="n">
        <v>46286</v>
      </c>
      <c r="F584" t="inlineStr">
        <is>
          <t>SKÅNE LÄN</t>
        </is>
      </c>
      <c r="G584" t="inlineStr">
        <is>
          <t>OSBY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976-2023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45005</v>
      </c>
      <c r="E585" s="1" t="n">
        <v>46286</v>
      </c>
      <c r="F585" t="inlineStr">
        <is>
          <t>SKÅNE LÄN</t>
        </is>
      </c>
      <c r="G585" t="inlineStr">
        <is>
          <t>OSBY</t>
        </is>
      </c>
      <c r="I585" t="n">
        <v>42.6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3083-2022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44719</v>
      </c>
      <c r="E586" s="1" t="n">
        <v>46286</v>
      </c>
      <c r="F586" t="inlineStr">
        <is>
          <t>SKÅNE LÄN</t>
        </is>
      </c>
      <c r="G586" t="inlineStr">
        <is>
          <t>OSBY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129-2023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44938</v>
      </c>
      <c r="E587" s="1" t="n">
        <v>46286</v>
      </c>
      <c r="F587" t="inlineStr">
        <is>
          <t>SKÅNE LÄN</t>
        </is>
      </c>
      <c r="G587" t="inlineStr">
        <is>
          <t>OSBY</t>
        </is>
      </c>
      <c r="I587" t="n">
        <v>29.6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3280-2023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45194</v>
      </c>
      <c r="E588" s="1" t="n">
        <v>46286</v>
      </c>
      <c r="F588" t="inlineStr">
        <is>
          <t>SKÅNE LÄN</t>
        </is>
      </c>
      <c r="G588" t="inlineStr">
        <is>
          <t>OSBY</t>
        </is>
      </c>
      <c r="I588" t="n">
        <v>14.8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4864-2022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44805</v>
      </c>
      <c r="E589" s="1" t="n">
        <v>46286</v>
      </c>
      <c r="F589" t="inlineStr">
        <is>
          <t>SKÅNE LÄN</t>
        </is>
      </c>
      <c r="G589" t="inlineStr">
        <is>
          <t>OSBY</t>
        </is>
      </c>
      <c r="I589" t="n">
        <v>22.1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6862-2022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44896</v>
      </c>
      <c r="E590" s="1" t="n">
        <v>46286</v>
      </c>
      <c r="F590" t="inlineStr">
        <is>
          <t>SKÅNE LÄN</t>
        </is>
      </c>
      <c r="G590" t="inlineStr">
        <is>
          <t>OSBY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1209-2022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44622</v>
      </c>
      <c r="E591" s="1" t="n">
        <v>46286</v>
      </c>
      <c r="F591" t="inlineStr">
        <is>
          <t>SKÅNE LÄN</t>
        </is>
      </c>
      <c r="G591" t="inlineStr">
        <is>
          <t>OSBY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5175-2024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45652</v>
      </c>
      <c r="E592" s="1" t="n">
        <v>46286</v>
      </c>
      <c r="F592" t="inlineStr">
        <is>
          <t>SKÅNE LÄN</t>
        </is>
      </c>
      <c r="G592" t="inlineStr">
        <is>
          <t>OSBY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884-2025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45735</v>
      </c>
      <c r="E593" s="1" t="n">
        <v>46286</v>
      </c>
      <c r="F593" t="inlineStr">
        <is>
          <t>SKÅNE LÄN</t>
        </is>
      </c>
      <c r="G593" t="inlineStr">
        <is>
          <t>OSBY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910-2025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45737</v>
      </c>
      <c r="E594" s="1" t="n">
        <v>46286</v>
      </c>
      <c r="F594" t="inlineStr">
        <is>
          <t>SKÅNE LÄN</t>
        </is>
      </c>
      <c r="G594" t="inlineStr">
        <is>
          <t>OSBY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2812-2025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45939</v>
      </c>
      <c r="E595" s="1" t="n">
        <v>46286</v>
      </c>
      <c r="F595" t="inlineStr">
        <is>
          <t>SKÅNE LÄN</t>
        </is>
      </c>
      <c r="G595" t="inlineStr">
        <is>
          <t>OSBY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2813-2025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45939</v>
      </c>
      <c r="E596" s="1" t="n">
        <v>46286</v>
      </c>
      <c r="F596" t="inlineStr">
        <is>
          <t>SKÅNE LÄN</t>
        </is>
      </c>
      <c r="G596" t="inlineStr">
        <is>
          <t>OSBY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3221-2025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45980</v>
      </c>
      <c r="E597" s="1" t="n">
        <v>46286</v>
      </c>
      <c r="F597" t="inlineStr">
        <is>
          <t>SKÅNE LÄN</t>
        </is>
      </c>
      <c r="G597" t="inlineStr">
        <is>
          <t>OSBY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46030</v>
      </c>
      <c r="E598" s="1" t="n">
        <v>46286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222-2026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46049</v>
      </c>
      <c r="E599" s="1" t="n">
        <v>46286</v>
      </c>
      <c r="F599" t="inlineStr">
        <is>
          <t>SKÅNE LÄN</t>
        </is>
      </c>
      <c r="G599" t="inlineStr">
        <is>
          <t>OSBY</t>
        </is>
      </c>
      <c r="I599" t="n">
        <v>26.8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815-2026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46104</v>
      </c>
      <c r="E600" s="1" t="n">
        <v>46286</v>
      </c>
      <c r="F600" t="inlineStr">
        <is>
          <t>SKÅNE LÄN</t>
        </is>
      </c>
      <c r="G600" t="inlineStr">
        <is>
          <t>OSBY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46134</v>
      </c>
      <c r="E601" s="1" t="n">
        <v>46286</v>
      </c>
      <c r="F601" t="inlineStr">
        <is>
          <t>SKÅNE LÄN</t>
        </is>
      </c>
      <c r="G601" t="inlineStr">
        <is>
          <t>OSBY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1126-2026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46134</v>
      </c>
      <c r="E602" s="1" t="n">
        <v>46286</v>
      </c>
      <c r="F602" t="inlineStr">
        <is>
          <t>SKÅNE LÄN</t>
        </is>
      </c>
      <c r="G602" t="inlineStr">
        <is>
          <t>OSBY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2026-09-21T02:05:02Z</dcterms:created>
  <dcterms:modified xmlns:dcterms="http://purl.org/dc/terms/" xmlns:xsi="http://www.w3.org/2001/XMLSchema-instance" xsi:type="dcterms:W3CDTF">2026-09-21T02:05:03Z</dcterms:modified>
</cp:coreProperties>
</file>