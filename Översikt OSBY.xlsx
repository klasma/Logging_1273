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46194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  <c r="Z4">
        <f>HYPERLINK("https://klasma.github.io/Logging_1273/fåglar/A 9939-2026 prioriterade fågelarter.docx",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46194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8989-2024</t>
        </is>
      </c>
      <c r="B7" s="1" t="n">
        <v>45356</v>
      </c>
      <c r="C7" s="1" t="n">
        <v>46194</v>
      </c>
      <c r="D7" t="inlineStr">
        <is>
          <t>SKÅNE LÄN</t>
        </is>
      </c>
      <c r="E7" t="inlineStr">
        <is>
          <t>OSBY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Kortskaftad parasitspik
Rostfläck</t>
        </is>
      </c>
      <c r="S7">
        <f>HYPERLINK("https://klasma.github.io/Logging_1273/artfynd/A 8989-2024 artfynd.xlsx", "A 8989-2024")</f>
        <v/>
      </c>
      <c r="T7">
        <f>HYPERLINK("https://klasma.github.io/Logging_1273/kartor/A 8989-2024 karta.png", "A 8989-2024")</f>
        <v/>
      </c>
      <c r="V7">
        <f>HYPERLINK("https://klasma.github.io/Logging_1273/klagomål/A 8989-2024 FSC-klagomål.docx", "A 8989-2024")</f>
        <v/>
      </c>
      <c r="W7">
        <f>HYPERLINK("https://klasma.github.io/Logging_1273/klagomålsmail/A 8989-2024 FSC-klagomål mail.docx", "A 8989-2024")</f>
        <v/>
      </c>
      <c r="X7">
        <f>HYPERLINK("https://klasma.github.io/Logging_1273/tillsyn/A 8989-2024 tillsynsbegäran.docx", "A 8989-2024")</f>
        <v/>
      </c>
      <c r="Y7">
        <f>HYPERLINK("https://klasma.github.io/Logging_1273/tillsynsmail/A 8989-2024 tillsynsbegäran mail.docx", "A 8989-2024")</f>
        <v/>
      </c>
    </row>
    <row r="8" ht="15" customHeight="1">
      <c r="A8" t="inlineStr">
        <is>
          <t>A 32766-2021</t>
        </is>
      </c>
      <c r="B8" s="1" t="n">
        <v>44375</v>
      </c>
      <c r="C8" s="1" t="n">
        <v>46194</v>
      </c>
      <c r="D8" t="inlineStr">
        <is>
          <t>SKÅNE LÄN</t>
        </is>
      </c>
      <c r="E8" t="inlineStr">
        <is>
          <t>OSBY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Vitfläckig guldvinge
Smal svampklubba</t>
        </is>
      </c>
      <c r="S8">
        <f>HYPERLINK("https://klasma.github.io/Logging_1273/artfynd/A 32766-2021 artfynd.xlsx", "A 32766-2021")</f>
        <v/>
      </c>
      <c r="T8">
        <f>HYPERLINK("https://klasma.github.io/Logging_1273/kartor/A 32766-2021 karta.png", "A 32766-2021")</f>
        <v/>
      </c>
      <c r="V8">
        <f>HYPERLINK("https://klasma.github.io/Logging_1273/klagomål/A 32766-2021 FSC-klagomål.docx", "A 32766-2021")</f>
        <v/>
      </c>
      <c r="W8">
        <f>HYPERLINK("https://klasma.github.io/Logging_1273/klagomålsmail/A 32766-2021 FSC-klagomål mail.docx", "A 32766-2021")</f>
        <v/>
      </c>
      <c r="X8">
        <f>HYPERLINK("https://klasma.github.io/Logging_1273/tillsyn/A 32766-2021 tillsynsbegäran.docx", "A 32766-2021")</f>
        <v/>
      </c>
      <c r="Y8">
        <f>HYPERLINK("https://klasma.github.io/Logging_1273/tillsynsmail/A 32766-2021 tillsynsbegäran mail.docx", "A 32766-2021")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46194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46194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46194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46194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44851-2025</t>
        </is>
      </c>
      <c r="B13" s="1" t="n">
        <v>45918</v>
      </c>
      <c r="C13" s="1" t="n">
        <v>46194</v>
      </c>
      <c r="D13" t="inlineStr">
        <is>
          <t>SKÅNE LÄN</t>
        </is>
      </c>
      <c r="E13" t="inlineStr">
        <is>
          <t>OSBY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HYPERLINK("https://klasma.github.io/Logging_1273/artfynd/A 44851-2025 artfynd.xlsx", "A 44851-2025")</f>
        <v/>
      </c>
      <c r="T13">
        <f>HYPERLINK("https://klasma.github.io/Logging_1273/kartor/A 44851-2025 karta.png", "A 44851-2025")</f>
        <v/>
      </c>
      <c r="V13">
        <f>HYPERLINK("https://klasma.github.io/Logging_1273/klagomål/A 44851-2025 FSC-klagomål.docx", "A 44851-2025")</f>
        <v/>
      </c>
      <c r="W13">
        <f>HYPERLINK("https://klasma.github.io/Logging_1273/klagomålsmail/A 44851-2025 FSC-klagomål mail.docx", "A 44851-2025")</f>
        <v/>
      </c>
      <c r="X13">
        <f>HYPERLINK("https://klasma.github.io/Logging_1273/tillsyn/A 44851-2025 tillsynsbegäran.docx", "A 44851-2025")</f>
        <v/>
      </c>
      <c r="Y13">
        <f>HYPERLINK("https://klasma.github.io/Logging_1273/tillsynsmail/A 44851-2025 tillsynsbegäran mail.docx", "A 44851-2025")</f>
        <v/>
      </c>
      <c r="Z13">
        <f>HYPERLINK("https://klasma.github.io/Logging_1273/fåglar/A 44851-2025 prioriterade fågelarter.docx", "A 44851-2025")</f>
        <v/>
      </c>
    </row>
    <row r="14" ht="15" customHeight="1">
      <c r="A14" t="inlineStr">
        <is>
          <t>A 22036-2026</t>
        </is>
      </c>
      <c r="B14" s="1" t="n">
        <v>46153</v>
      </c>
      <c r="C14" s="1" t="n">
        <v>46194</v>
      </c>
      <c r="D14" t="inlineStr">
        <is>
          <t>SKÅNE LÄN</t>
        </is>
      </c>
      <c r="E14" t="inlineStr">
        <is>
          <t>OSBY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HYPERLINK("https://klasma.github.io/Logging_1273/artfynd/A 22036-2026 artfynd.xlsx", "A 22036-2026")</f>
        <v/>
      </c>
      <c r="T14">
        <f>HYPERLINK("https://klasma.github.io/Logging_1273/kartor/A 22036-2026 karta.png", "A 22036-2026")</f>
        <v/>
      </c>
      <c r="V14">
        <f>HYPERLINK("https://klasma.github.io/Logging_1273/klagomål/A 22036-2026 FSC-klagomål.docx", "A 22036-2026")</f>
        <v/>
      </c>
      <c r="W14">
        <f>HYPERLINK("https://klasma.github.io/Logging_1273/klagomålsmail/A 22036-2026 FSC-klagomål mail.docx", "A 22036-2026")</f>
        <v/>
      </c>
      <c r="X14">
        <f>HYPERLINK("https://klasma.github.io/Logging_1273/tillsyn/A 22036-2026 tillsynsbegäran.docx", "A 22036-2026")</f>
        <v/>
      </c>
      <c r="Y14">
        <f>HYPERLINK("https://klasma.github.io/Logging_1273/tillsynsmail/A 22036-2026 tillsynsbegäran mail.docx", "A 22036-2026")</f>
        <v/>
      </c>
      <c r="Z14">
        <f>HYPERLINK("https://klasma.github.io/Logging_1273/fåglar/A 22036-2026 prioriterade fågelarter.docx", "A 22036-2026")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46194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46194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  <c r="Z16">
        <f>HYPERLINK("https://klasma.github.io/Logging_1273/fåglar/A 47612-2022 prioriterade fågelarter.docx", "A 47612-2022")</f>
        <v/>
      </c>
    </row>
    <row r="17" ht="15" customHeight="1">
      <c r="A17" t="inlineStr">
        <is>
          <t>A 23963-2022</t>
        </is>
      </c>
      <c r="B17" s="1" t="n">
        <v>44722</v>
      </c>
      <c r="C17" s="1" t="n">
        <v>46194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23963-2022 artfynd.xlsx", "A 23963-2022")</f>
        <v/>
      </c>
      <c r="T17">
        <f>HYPERLINK("https://klasma.github.io/Logging_1273/kartor/A 23963-2022 karta.png", "A 23963-2022")</f>
        <v/>
      </c>
      <c r="V17">
        <f>HYPERLINK("https://klasma.github.io/Logging_1273/klagomål/A 23963-2022 FSC-klagomål.docx", "A 23963-2022")</f>
        <v/>
      </c>
      <c r="W17">
        <f>HYPERLINK("https://klasma.github.io/Logging_1273/klagomålsmail/A 23963-2022 FSC-klagomål mail.docx", "A 23963-2022")</f>
        <v/>
      </c>
      <c r="X17">
        <f>HYPERLINK("https://klasma.github.io/Logging_1273/tillsyn/A 23963-2022 tillsynsbegäran.docx", "A 23963-2022")</f>
        <v/>
      </c>
      <c r="Y17">
        <f>HYPERLINK("https://klasma.github.io/Logging_1273/tillsynsmail/A 23963-2022 tillsynsbegäran mail.docx", "A 23963-2022")</f>
        <v/>
      </c>
      <c r="Z17">
        <f>HYPERLINK("https://klasma.github.io/Logging_1273/fåglar/A 23963-2022 prioriterade fågelarter.docx", "A 23963-2022")</f>
        <v/>
      </c>
    </row>
    <row r="18" ht="15" customHeight="1">
      <c r="A18" t="inlineStr">
        <is>
          <t>A 33491-2022</t>
        </is>
      </c>
      <c r="B18" s="1" t="n">
        <v>44788</v>
      </c>
      <c r="C18" s="1" t="n">
        <v>46194</v>
      </c>
      <c r="D18" t="inlineStr">
        <is>
          <t>SKÅNE LÄN</t>
        </is>
      </c>
      <c r="E18" t="inlineStr">
        <is>
          <t>OSBY</t>
        </is>
      </c>
      <c r="G18" t="n">
        <v>11.8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1</v>
      </c>
      <c r="P18" t="n">
        <v>0</v>
      </c>
      <c r="Q18" t="n">
        <v>1</v>
      </c>
      <c r="R18" s="2" t="inlineStr">
        <is>
          <t>Pimpinellros</t>
        </is>
      </c>
      <c r="S18">
        <f>HYPERLINK("https://klasma.github.io/Logging_1273/artfynd/A 33491-2022 artfynd.xlsx", "A 33491-2022")</f>
        <v/>
      </c>
      <c r="T18">
        <f>HYPERLINK("https://klasma.github.io/Logging_1273/kartor/A 33491-2022 karta.png", "A 33491-2022")</f>
        <v/>
      </c>
      <c r="V18">
        <f>HYPERLINK("https://klasma.github.io/Logging_1273/klagomål/A 33491-2022 FSC-klagomål.docx", "A 33491-2022")</f>
        <v/>
      </c>
      <c r="W18">
        <f>HYPERLINK("https://klasma.github.io/Logging_1273/klagomålsmail/A 33491-2022 FSC-klagomål mail.docx", "A 33491-2022")</f>
        <v/>
      </c>
      <c r="X18">
        <f>HYPERLINK("https://klasma.github.io/Logging_1273/tillsyn/A 33491-2022 tillsynsbegäran.docx", "A 33491-2022")</f>
        <v/>
      </c>
      <c r="Y18">
        <f>HYPERLINK("https://klasma.github.io/Logging_1273/tillsynsmail/A 33491-2022 tillsynsbegäran mail.docx", "A 33491-2022")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46194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46194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</v>
      </c>
      <c r="C21" s="1" t="n">
        <v>46194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42610-2025</t>
        </is>
      </c>
      <c r="B22" s="1" t="n">
        <v>45905</v>
      </c>
      <c r="C22" s="1" t="n">
        <v>46194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42610-2025 artfynd.xlsx", "A 42610-2025")</f>
        <v/>
      </c>
      <c r="T22">
        <f>HYPERLINK("https://klasma.github.io/Logging_1273/kartor/A 42610-2025 karta.png", "A 42610-2025")</f>
        <v/>
      </c>
      <c r="V22">
        <f>HYPERLINK("https://klasma.github.io/Logging_1273/klagomål/A 42610-2025 FSC-klagomål.docx", "A 42610-2025")</f>
        <v/>
      </c>
      <c r="W22">
        <f>HYPERLINK("https://klasma.github.io/Logging_1273/klagomålsmail/A 42610-2025 FSC-klagomål mail.docx", "A 42610-2025")</f>
        <v/>
      </c>
      <c r="X22">
        <f>HYPERLINK("https://klasma.github.io/Logging_1273/tillsyn/A 42610-2025 tillsynsbegäran.docx", "A 42610-2025")</f>
        <v/>
      </c>
      <c r="Y22">
        <f>HYPERLINK("https://klasma.github.io/Logging_1273/tillsynsmail/A 42610-2025 tillsynsbegäran mail.docx", "A 42610-2025")</f>
        <v/>
      </c>
    </row>
    <row r="23" ht="15" customHeight="1">
      <c r="A23" t="inlineStr">
        <is>
          <t>A 43095-2025</t>
        </is>
      </c>
      <c r="B23" s="1" t="n">
        <v>45909</v>
      </c>
      <c r="C23" s="1" t="n">
        <v>46194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50741-2023</t>
        </is>
      </c>
      <c r="B24" s="1" t="n">
        <v>45217</v>
      </c>
      <c r="C24" s="1" t="n">
        <v>46194</v>
      </c>
      <c r="D24" t="inlineStr">
        <is>
          <t>SKÅNE LÄN</t>
        </is>
      </c>
      <c r="E24" t="inlineStr">
        <is>
          <t>OSBY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HYPERLINK("https://klasma.github.io/Logging_1273/artfynd/A 50741-2023 artfynd.xlsx", "A 50741-2023")</f>
        <v/>
      </c>
      <c r="T24">
        <f>HYPERLINK("https://klasma.github.io/Logging_1273/kartor/A 50741-2023 karta.png", "A 50741-2023")</f>
        <v/>
      </c>
      <c r="V24">
        <f>HYPERLINK("https://klasma.github.io/Logging_1273/klagomål/A 50741-2023 FSC-klagomål.docx", "A 50741-2023")</f>
        <v/>
      </c>
      <c r="W24">
        <f>HYPERLINK("https://klasma.github.io/Logging_1273/klagomålsmail/A 50741-2023 FSC-klagomål mail.docx", "A 50741-2023")</f>
        <v/>
      </c>
      <c r="X24">
        <f>HYPERLINK("https://klasma.github.io/Logging_1273/tillsyn/A 50741-2023 tillsynsbegäran.docx", "A 50741-2023")</f>
        <v/>
      </c>
      <c r="Y24">
        <f>HYPERLINK("https://klasma.github.io/Logging_1273/tillsynsmail/A 50741-2023 tillsynsbegäran mail.docx", "A 50741-2023")</f>
        <v/>
      </c>
    </row>
    <row r="25" ht="15" customHeight="1">
      <c r="A25" t="inlineStr">
        <is>
          <t>A 46477-2025</t>
        </is>
      </c>
      <c r="B25" s="1" t="n">
        <v>45925</v>
      </c>
      <c r="C25" s="1" t="n">
        <v>46194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46194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59677-2023</t>
        </is>
      </c>
      <c r="B27" s="1" t="n">
        <v>45255</v>
      </c>
      <c r="C27" s="1" t="n">
        <v>46194</v>
      </c>
      <c r="D27" t="inlineStr">
        <is>
          <t>SKÅNE LÄN</t>
        </is>
      </c>
      <c r="E27" t="inlineStr">
        <is>
          <t>OSBY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59677-2023 artfynd.xlsx", "A 59677-2023")</f>
        <v/>
      </c>
      <c r="T27">
        <f>HYPERLINK("https://klasma.github.io/Logging_1273/kartor/A 59677-2023 karta.png", "A 59677-2023")</f>
        <v/>
      </c>
      <c r="V27">
        <f>HYPERLINK("https://klasma.github.io/Logging_1273/klagomål/A 59677-2023 FSC-klagomål.docx", "A 59677-2023")</f>
        <v/>
      </c>
      <c r="W27">
        <f>HYPERLINK("https://klasma.github.io/Logging_1273/klagomålsmail/A 59677-2023 FSC-klagomål mail.docx", "A 59677-2023")</f>
        <v/>
      </c>
      <c r="X27">
        <f>HYPERLINK("https://klasma.github.io/Logging_1273/tillsyn/A 59677-2023 tillsynsbegäran.docx", "A 59677-2023")</f>
        <v/>
      </c>
      <c r="Y27">
        <f>HYPERLINK("https://klasma.github.io/Logging_1273/tillsynsmail/A 59677-2023 tillsynsbegäran mail.docx", "A 59677-2023")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46194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26457-2026</t>
        </is>
      </c>
      <c r="B29" s="1" t="n">
        <v>46183</v>
      </c>
      <c r="C29" s="1" t="n">
        <v>46194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Skogsduva</t>
        </is>
      </c>
      <c r="S29">
        <f>HYPERLINK("https://klasma.github.io/Logging_1273/artfynd/A 26457-2026 artfynd.xlsx", "A 26457-2026")</f>
        <v/>
      </c>
      <c r="T29">
        <f>HYPERLINK("https://klasma.github.io/Logging_1273/kartor/A 26457-2026 karta.png", "A 26457-2026")</f>
        <v/>
      </c>
      <c r="V29">
        <f>HYPERLINK("https://klasma.github.io/Logging_1273/klagomål/A 26457-2026 FSC-klagomål.docx", "A 26457-2026")</f>
        <v/>
      </c>
      <c r="W29">
        <f>HYPERLINK("https://klasma.github.io/Logging_1273/klagomålsmail/A 26457-2026 FSC-klagomål mail.docx", "A 26457-2026")</f>
        <v/>
      </c>
      <c r="X29">
        <f>HYPERLINK("https://klasma.github.io/Logging_1273/tillsyn/A 26457-2026 tillsynsbegäran.docx", "A 26457-2026")</f>
        <v/>
      </c>
      <c r="Y29">
        <f>HYPERLINK("https://klasma.github.io/Logging_1273/tillsynsmail/A 26457-2026 tillsynsbegäran mail.docx", "A 26457-2026")</f>
        <v/>
      </c>
      <c r="Z29">
        <f>HYPERLINK("https://klasma.github.io/Logging_1273/fåglar/A 26457-2026 prioriterade fågelarter.docx", "A 26457-2026")</f>
        <v/>
      </c>
    </row>
    <row r="30" ht="15" customHeight="1">
      <c r="A30" t="inlineStr">
        <is>
          <t>A 33064-2023</t>
        </is>
      </c>
      <c r="B30" s="1" t="n">
        <v>45126</v>
      </c>
      <c r="C30" s="1" t="n">
        <v>46194</v>
      </c>
      <c r="D30" t="inlineStr">
        <is>
          <t>SKÅNE LÄN</t>
        </is>
      </c>
      <c r="E30" t="inlineStr">
        <is>
          <t>OSBY</t>
        </is>
      </c>
      <c r="G30" t="n">
        <v>0.8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HYPERLINK("https://klasma.github.io/Logging_1273/artfynd/A 33064-2023 artfynd.xlsx", "A 33064-2023")</f>
        <v/>
      </c>
      <c r="T30">
        <f>HYPERLINK("https://klasma.github.io/Logging_1273/kartor/A 33064-2023 karta.png", "A 33064-2023")</f>
        <v/>
      </c>
      <c r="U30">
        <f>HYPERLINK("https://klasma.github.io/Logging_1273/knärot/A 33064-2023 karta knärot.png", "A 33064-2023")</f>
        <v/>
      </c>
      <c r="V30">
        <f>HYPERLINK("https://klasma.github.io/Logging_1273/klagomål/A 33064-2023 FSC-klagomål.docx", "A 33064-2023")</f>
        <v/>
      </c>
      <c r="W30">
        <f>HYPERLINK("https://klasma.github.io/Logging_1273/klagomålsmail/A 33064-2023 FSC-klagomål mail.docx", "A 33064-2023")</f>
        <v/>
      </c>
      <c r="X30">
        <f>HYPERLINK("https://klasma.github.io/Logging_1273/tillsyn/A 33064-2023 tillsynsbegäran.docx", "A 33064-2023")</f>
        <v/>
      </c>
      <c r="Y30">
        <f>HYPERLINK("https://klasma.github.io/Logging_1273/tillsynsmail/A 33064-2023 tillsynsbegäran mail.docx", "A 33064-2023")</f>
        <v/>
      </c>
    </row>
    <row r="31" ht="15" customHeight="1">
      <c r="A31" t="inlineStr">
        <is>
          <t>A 13143-2023</t>
        </is>
      </c>
      <c r="B31" s="1" t="n">
        <v>45002</v>
      </c>
      <c r="C31" s="1" t="n">
        <v>46194</v>
      </c>
      <c r="D31" t="inlineStr">
        <is>
          <t>SKÅNE LÄN</t>
        </is>
      </c>
      <c r="E31" t="inlineStr">
        <is>
          <t>OSBY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HYPERLINK("https://klasma.github.io/Logging_1273/artfynd/A 13143-2023 artfynd.xlsx", "A 13143-2023")</f>
        <v/>
      </c>
      <c r="T31">
        <f>HYPERLINK("https://klasma.github.io/Logging_1273/kartor/A 13143-2023 karta.png", "A 13143-2023")</f>
        <v/>
      </c>
      <c r="V31">
        <f>HYPERLINK("https://klasma.github.io/Logging_1273/klagomål/A 13143-2023 FSC-klagomål.docx", "A 13143-2023")</f>
        <v/>
      </c>
      <c r="W31">
        <f>HYPERLINK("https://klasma.github.io/Logging_1273/klagomålsmail/A 13143-2023 FSC-klagomål mail.docx", "A 13143-2023")</f>
        <v/>
      </c>
      <c r="X31">
        <f>HYPERLINK("https://klasma.github.io/Logging_1273/tillsyn/A 13143-2023 tillsynsbegäran.docx", "A 13143-2023")</f>
        <v/>
      </c>
      <c r="Y31">
        <f>HYPERLINK("https://klasma.github.io/Logging_1273/tillsynsmail/A 13143-2023 tillsynsbegäran mail.docx", "A 13143-2023")</f>
        <v/>
      </c>
    </row>
    <row r="32" ht="15" customHeight="1">
      <c r="A32" t="inlineStr">
        <is>
          <t>A 33486-2022</t>
        </is>
      </c>
      <c r="B32" s="1" t="n">
        <v>44788</v>
      </c>
      <c r="C32" s="1" t="n">
        <v>46194</v>
      </c>
      <c r="D32" t="inlineStr">
        <is>
          <t>SKÅNE LÄN</t>
        </is>
      </c>
      <c r="E32" t="inlineStr">
        <is>
          <t>OSBY</t>
        </is>
      </c>
      <c r="G32" t="n">
        <v>7.8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Sparvuggla</t>
        </is>
      </c>
      <c r="S32">
        <f>HYPERLINK("https://klasma.github.io/Logging_1273/artfynd/A 33486-2022 artfynd.xlsx", "A 33486-2022")</f>
        <v/>
      </c>
      <c r="T32">
        <f>HYPERLINK("https://klasma.github.io/Logging_1273/kartor/A 33486-2022 karta.png", "A 33486-2022")</f>
        <v/>
      </c>
      <c r="V32">
        <f>HYPERLINK("https://klasma.github.io/Logging_1273/klagomål/A 33486-2022 FSC-klagomål.docx", "A 33486-2022")</f>
        <v/>
      </c>
      <c r="W32">
        <f>HYPERLINK("https://klasma.github.io/Logging_1273/klagomålsmail/A 33486-2022 FSC-klagomål mail.docx", "A 33486-2022")</f>
        <v/>
      </c>
      <c r="X32">
        <f>HYPERLINK("https://klasma.github.io/Logging_1273/tillsyn/A 33486-2022 tillsynsbegäran.docx", "A 33486-2022")</f>
        <v/>
      </c>
      <c r="Y32">
        <f>HYPERLINK("https://klasma.github.io/Logging_1273/tillsynsmail/A 33486-2022 tillsynsbegäran mail.docx", "A 33486-2022")</f>
        <v/>
      </c>
      <c r="Z32">
        <f>HYPERLINK("https://klasma.github.io/Logging_1273/fåglar/A 33486-2022 prioriterade fågelarter.docx", "A 33486-2022")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46194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42027-2023</t>
        </is>
      </c>
      <c r="B34" s="1" t="n">
        <v>45177</v>
      </c>
      <c r="C34" s="1" t="n">
        <v>46194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HYPERLINK("https://klasma.github.io/Logging_1273/artfynd/A 42027-2023 artfynd.xlsx", "A 42027-2023")</f>
        <v/>
      </c>
      <c r="T34">
        <f>HYPERLINK("https://klasma.github.io/Logging_1273/kartor/A 42027-2023 karta.png", "A 42027-2023")</f>
        <v/>
      </c>
      <c r="V34">
        <f>HYPERLINK("https://klasma.github.io/Logging_1273/klagomål/A 42027-2023 FSC-klagomål.docx", "A 42027-2023")</f>
        <v/>
      </c>
      <c r="W34">
        <f>HYPERLINK("https://klasma.github.io/Logging_1273/klagomålsmail/A 42027-2023 FSC-klagomål mail.docx", "A 42027-2023")</f>
        <v/>
      </c>
      <c r="X34">
        <f>HYPERLINK("https://klasma.github.io/Logging_1273/tillsyn/A 42027-2023 tillsynsbegäran.docx", "A 42027-2023")</f>
        <v/>
      </c>
      <c r="Y34">
        <f>HYPERLINK("https://klasma.github.io/Logging_1273/tillsynsmail/A 42027-2023 tillsynsbegäran mail.docx", "A 42027-2023")</f>
        <v/>
      </c>
    </row>
    <row r="35" ht="15" customHeight="1">
      <c r="A35" t="inlineStr">
        <is>
          <t>A 31722-2023</t>
        </is>
      </c>
      <c r="B35" s="1" t="n">
        <v>45117</v>
      </c>
      <c r="C35" s="1" t="n">
        <v>46194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HYPERLINK("https://klasma.github.io/Logging_1273/artfynd/A 31722-2023 artfynd.xlsx", "A 31722-2023")</f>
        <v/>
      </c>
      <c r="T35">
        <f>HYPERLINK("https://klasma.github.io/Logging_1273/kartor/A 31722-2023 karta.png", "A 31722-2023")</f>
        <v/>
      </c>
      <c r="V35">
        <f>HYPERLINK("https://klasma.github.io/Logging_1273/klagomål/A 31722-2023 FSC-klagomål.docx", "A 31722-2023")</f>
        <v/>
      </c>
      <c r="W35">
        <f>HYPERLINK("https://klasma.github.io/Logging_1273/klagomålsmail/A 31722-2023 FSC-klagomål mail.docx", "A 31722-2023")</f>
        <v/>
      </c>
      <c r="X35">
        <f>HYPERLINK("https://klasma.github.io/Logging_1273/tillsyn/A 31722-2023 tillsynsbegäran.docx", "A 31722-2023")</f>
        <v/>
      </c>
      <c r="Y35">
        <f>HYPERLINK("https://klasma.github.io/Logging_1273/tillsynsmail/A 31722-2023 tillsynsbegäran mail.docx", "A 31722-2023")</f>
        <v/>
      </c>
    </row>
    <row r="36" ht="15" customHeight="1">
      <c r="A36" t="inlineStr">
        <is>
          <t>A 20227-2022</t>
        </is>
      </c>
      <c r="B36" s="1" t="n">
        <v>44698</v>
      </c>
      <c r="C36" s="1" t="n">
        <v>46194</v>
      </c>
      <c r="D36" t="inlineStr">
        <is>
          <t>SKÅNE LÄN</t>
        </is>
      </c>
      <c r="E36" t="inlineStr">
        <is>
          <t>OSBY</t>
        </is>
      </c>
      <c r="F36" t="inlineStr">
        <is>
          <t>Kommuner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HYPERLINK("https://klasma.github.io/Logging_1273/artfynd/A 20227-2022 artfynd.xlsx", "A 20227-2022")</f>
        <v/>
      </c>
      <c r="T36">
        <f>HYPERLINK("https://klasma.github.io/Logging_1273/kartor/A 20227-2022 karta.png", "A 20227-2022")</f>
        <v/>
      </c>
      <c r="V36">
        <f>HYPERLINK("https://klasma.github.io/Logging_1273/klagomål/A 20227-2022 FSC-klagomål.docx", "A 20227-2022")</f>
        <v/>
      </c>
      <c r="W36">
        <f>HYPERLINK("https://klasma.github.io/Logging_1273/klagomålsmail/A 20227-2022 FSC-klagomål mail.docx", "A 20227-2022")</f>
        <v/>
      </c>
      <c r="X36">
        <f>HYPERLINK("https://klasma.github.io/Logging_1273/tillsyn/A 20227-2022 tillsynsbegäran.docx", "A 20227-2022")</f>
        <v/>
      </c>
      <c r="Y36">
        <f>HYPERLINK("https://klasma.github.io/Logging_1273/tillsynsmail/A 20227-2022 tillsynsbegäran mail.docx", "A 20227-2022")</f>
        <v/>
      </c>
      <c r="Z36">
        <f>HYPERLINK("https://klasma.github.io/Logging_1273/fåglar/A 20227-2022 prioriterade fågelarter.docx", "A 20227-2022")</f>
        <v/>
      </c>
    </row>
    <row r="37" ht="15" customHeight="1">
      <c r="A37" t="inlineStr">
        <is>
          <t>A 9938-2026</t>
        </is>
      </c>
      <c r="B37" s="1" t="n">
        <v>46073</v>
      </c>
      <c r="C37" s="1" t="n">
        <v>46194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HYPERLINK("https://klasma.github.io/Logging_1273/artfynd/A 9938-2026 artfynd.xlsx", "A 9938-2026")</f>
        <v/>
      </c>
      <c r="T37">
        <f>HYPERLINK("https://klasma.github.io/Logging_1273/kartor/A 9938-2026 karta.png", "A 9938-2026")</f>
        <v/>
      </c>
      <c r="V37">
        <f>HYPERLINK("https://klasma.github.io/Logging_1273/klagomål/A 9938-2026 FSC-klagomål.docx", "A 9938-2026")</f>
        <v/>
      </c>
      <c r="W37">
        <f>HYPERLINK("https://klasma.github.io/Logging_1273/klagomålsmail/A 9938-2026 FSC-klagomål mail.docx", "A 9938-2026")</f>
        <v/>
      </c>
      <c r="X37">
        <f>HYPERLINK("https://klasma.github.io/Logging_1273/tillsyn/A 9938-2026 tillsynsbegäran.docx", "A 9938-2026")</f>
        <v/>
      </c>
      <c r="Y37">
        <f>HYPERLINK("https://klasma.github.io/Logging_1273/tillsynsmail/A 9938-2026 tillsynsbegäran mail.docx", "A 9938-2026")</f>
        <v/>
      </c>
      <c r="Z37">
        <f>HYPERLINK("https://klasma.github.io/Logging_1273/fåglar/A 9938-2026 prioriterade fågelarter.docx", "A 9938-2026")</f>
        <v/>
      </c>
    </row>
    <row r="38" ht="15" customHeight="1">
      <c r="A38" t="inlineStr">
        <is>
          <t>A 24543-2026</t>
        </is>
      </c>
      <c r="B38" s="1" t="n">
        <v>46170</v>
      </c>
      <c r="C38" s="1" t="n">
        <v>46194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HYPERLINK("https://klasma.github.io/Logging_1273/artfynd/A 24543-2026 artfynd.xlsx", "A 24543-2026")</f>
        <v/>
      </c>
      <c r="T38">
        <f>HYPERLINK("https://klasma.github.io/Logging_1273/kartor/A 24543-2026 karta.png", "A 24543-2026")</f>
        <v/>
      </c>
      <c r="V38">
        <f>HYPERLINK("https://klasma.github.io/Logging_1273/klagomål/A 24543-2026 FSC-klagomål.docx", "A 24543-2026")</f>
        <v/>
      </c>
      <c r="W38">
        <f>HYPERLINK("https://klasma.github.io/Logging_1273/klagomålsmail/A 24543-2026 FSC-klagomål mail.docx", "A 24543-2026")</f>
        <v/>
      </c>
      <c r="X38">
        <f>HYPERLINK("https://klasma.github.io/Logging_1273/tillsyn/A 24543-2026 tillsynsbegäran.docx", "A 24543-2026")</f>
        <v/>
      </c>
      <c r="Y38">
        <f>HYPERLINK("https://klasma.github.io/Logging_1273/tillsynsmail/A 24543-2026 tillsynsbegäran mail.docx", "A 24543-2026")</f>
        <v/>
      </c>
    </row>
    <row r="39" ht="15" customHeight="1">
      <c r="A39" t="inlineStr">
        <is>
          <t>A 25909-2026</t>
        </is>
      </c>
      <c r="B39" s="1" t="n">
        <v>46178</v>
      </c>
      <c r="C39" s="1" t="n">
        <v>46194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HYPERLINK("https://klasma.github.io/Logging_1273/artfynd/A 25909-2026 artfynd.xlsx", "A 25909-2026")</f>
        <v/>
      </c>
      <c r="T39">
        <f>HYPERLINK("https://klasma.github.io/Logging_1273/kartor/A 25909-2026 karta.png", "A 25909-2026")</f>
        <v/>
      </c>
      <c r="V39">
        <f>HYPERLINK("https://klasma.github.io/Logging_1273/klagomål/A 25909-2026 FSC-klagomål.docx", "A 25909-2026")</f>
        <v/>
      </c>
      <c r="W39">
        <f>HYPERLINK("https://klasma.github.io/Logging_1273/klagomålsmail/A 25909-2026 FSC-klagomål mail.docx", "A 25909-2026")</f>
        <v/>
      </c>
      <c r="X39">
        <f>HYPERLINK("https://klasma.github.io/Logging_1273/tillsyn/A 25909-2026 tillsynsbegäran.docx", "A 25909-2026")</f>
        <v/>
      </c>
      <c r="Y39">
        <f>HYPERLINK("https://klasma.github.io/Logging_1273/tillsynsmail/A 25909-2026 tillsynsbegäran mail.docx", "A 25909-2026")</f>
        <v/>
      </c>
      <c r="Z39">
        <f>HYPERLINK("https://klasma.github.io/Logging_1273/fåglar/A 25909-2026 prioriterade fågelarter.docx", "A 25909-2026")</f>
        <v/>
      </c>
    </row>
    <row r="40" ht="15" customHeight="1">
      <c r="A40" t="inlineStr">
        <is>
          <t>A 24720-2025</t>
        </is>
      </c>
      <c r="B40" s="1" t="n">
        <v>45799</v>
      </c>
      <c r="C40" s="1" t="n">
        <v>46194</v>
      </c>
      <c r="D40" t="inlineStr">
        <is>
          <t>SKÅNE LÄN</t>
        </is>
      </c>
      <c r="E40" t="inlineStr">
        <is>
          <t>OSBY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HYPERLINK("https://klasma.github.io/Logging_1273/artfynd/A 24720-2025 artfynd.xlsx", "A 24720-2025")</f>
        <v/>
      </c>
      <c r="T40">
        <f>HYPERLINK("https://klasma.github.io/Logging_1273/kartor/A 24720-2025 karta.png", "A 24720-2025")</f>
        <v/>
      </c>
      <c r="V40">
        <f>HYPERLINK("https://klasma.github.io/Logging_1273/klagomål/A 24720-2025 FSC-klagomål.docx", "A 24720-2025")</f>
        <v/>
      </c>
      <c r="W40">
        <f>HYPERLINK("https://klasma.github.io/Logging_1273/klagomålsmail/A 24720-2025 FSC-klagomål mail.docx", "A 24720-2025")</f>
        <v/>
      </c>
      <c r="X40">
        <f>HYPERLINK("https://klasma.github.io/Logging_1273/tillsyn/A 24720-2025 tillsynsbegäran.docx", "A 24720-2025")</f>
        <v/>
      </c>
      <c r="Y40">
        <f>HYPERLINK("https://klasma.github.io/Logging_1273/tillsynsmail/A 24720-2025 tillsynsbegäran mail.docx", "A 24720-2025")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46194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46194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46194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44629-2021</t>
        </is>
      </c>
      <c r="B44" s="1" t="n">
        <v>44437</v>
      </c>
      <c r="C44" s="1" t="n">
        <v>46194</v>
      </c>
      <c r="D44" t="inlineStr">
        <is>
          <t>SKÅNE LÄN</t>
        </is>
      </c>
      <c r="E44" t="inlineStr">
        <is>
          <t>OSBY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50491-2021</t>
        </is>
      </c>
      <c r="B45" s="1" t="n">
        <v>44459</v>
      </c>
      <c r="C45" s="1" t="n">
        <v>46194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46194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46194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46194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46194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46194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46194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46194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46194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46194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46194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46194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</v>
      </c>
      <c r="C58" s="1" t="n">
        <v>46194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</v>
      </c>
      <c r="C59" s="1" t="n">
        <v>46194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</v>
      </c>
      <c r="C60" s="1" t="n">
        <v>46194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46194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46194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46194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46194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</v>
      </c>
      <c r="C68" s="1" t="n">
        <v>46194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46194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46194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46194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46194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31491-2021</t>
        </is>
      </c>
      <c r="B73" s="1" t="n">
        <v>44369</v>
      </c>
      <c r="C73" s="1" t="n">
        <v>46194</v>
      </c>
      <c r="D73" t="inlineStr">
        <is>
          <t>SKÅNE LÄN</t>
        </is>
      </c>
      <c r="E73" t="inlineStr">
        <is>
          <t>OSBY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46194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41816-2021</t>
        </is>
      </c>
      <c r="B75" s="1" t="n">
        <v>44425</v>
      </c>
      <c r="C75" s="1" t="n">
        <v>46194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51353-2021</t>
        </is>
      </c>
      <c r="B76" s="1" t="n">
        <v>44461</v>
      </c>
      <c r="C76" s="1" t="n">
        <v>46194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46194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30564-2022</t>
        </is>
      </c>
      <c r="B78" s="1" t="n">
        <v>44762</v>
      </c>
      <c r="C78" s="1" t="n">
        <v>46194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46194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</v>
      </c>
      <c r="C80" s="1" t="n">
        <v>46194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56229-2021</t>
        </is>
      </c>
      <c r="B81" s="1" t="n">
        <v>44478</v>
      </c>
      <c r="C81" s="1" t="n">
        <v>46194</v>
      </c>
      <c r="D81" t="inlineStr">
        <is>
          <t>SKÅNE LÄN</t>
        </is>
      </c>
      <c r="E81" t="inlineStr">
        <is>
          <t>OSBY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46194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</v>
      </c>
      <c r="C83" s="1" t="n">
        <v>46194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51859-2021</t>
        </is>
      </c>
      <c r="B84" s="1" t="n">
        <v>44462</v>
      </c>
      <c r="C84" s="1" t="n">
        <v>46194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53339-2021</t>
        </is>
      </c>
      <c r="B85" s="1" t="n">
        <v>44468</v>
      </c>
      <c r="C85" s="1" t="n">
        <v>46194</v>
      </c>
      <c r="D85" t="inlineStr">
        <is>
          <t>SKÅNE LÄN</t>
        </is>
      </c>
      <c r="E85" t="inlineStr">
        <is>
          <t>OSBY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5569-2022</t>
        </is>
      </c>
      <c r="B86" s="1" t="n">
        <v>44595</v>
      </c>
      <c r="C86" s="1" t="n">
        <v>46194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46194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46194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</v>
      </c>
      <c r="C89" s="1" t="n">
        <v>46194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</v>
      </c>
      <c r="C90" s="1" t="n">
        <v>46194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46194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</v>
      </c>
      <c r="C92" s="1" t="n">
        <v>46194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</v>
      </c>
      <c r="C93" s="1" t="n">
        <v>46194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46194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</v>
      </c>
      <c r="C95" s="1" t="n">
        <v>46194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</v>
      </c>
      <c r="C96" s="1" t="n">
        <v>46194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</v>
      </c>
      <c r="C97" s="1" t="n">
        <v>46194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46194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46194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46194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</v>
      </c>
      <c r="C101" s="1" t="n">
        <v>46194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</v>
      </c>
      <c r="C102" s="1" t="n">
        <v>46194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46194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46194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</v>
      </c>
      <c r="C105" s="1" t="n">
        <v>46194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</v>
      </c>
      <c r="C106" s="1" t="n">
        <v>46194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</v>
      </c>
      <c r="C107" s="1" t="n">
        <v>46194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</v>
      </c>
      <c r="C108" s="1" t="n">
        <v>46194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46194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40524-2022</t>
        </is>
      </c>
      <c r="B110" s="1" t="n">
        <v>44823</v>
      </c>
      <c r="C110" s="1" t="n">
        <v>46194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46194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</v>
      </c>
      <c r="C112" s="1" t="n">
        <v>46194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12058-2024</t>
        </is>
      </c>
      <c r="B113" s="1" t="n">
        <v>45377</v>
      </c>
      <c r="C113" s="1" t="n">
        <v>46194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12070-2023</t>
        </is>
      </c>
      <c r="B114" s="1" t="n">
        <v>44997</v>
      </c>
      <c r="C114" s="1" t="n">
        <v>46194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46194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44430-2024</t>
        </is>
      </c>
      <c r="B116" s="1" t="n">
        <v>45573</v>
      </c>
      <c r="C116" s="1" t="n">
        <v>46194</v>
      </c>
      <c r="D116" t="inlineStr">
        <is>
          <t>SKÅNE LÄN</t>
        </is>
      </c>
      <c r="E116" t="inlineStr">
        <is>
          <t>OSBY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</v>
      </c>
      <c r="C117" s="1" t="n">
        <v>46194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38998-2024</t>
        </is>
      </c>
      <c r="B118" s="1" t="n">
        <v>45548</v>
      </c>
      <c r="C118" s="1" t="n">
        <v>46194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40395-2024</t>
        </is>
      </c>
      <c r="B119" s="1" t="n">
        <v>45555</v>
      </c>
      <c r="C119" s="1" t="n">
        <v>46194</v>
      </c>
      <c r="D119" t="inlineStr">
        <is>
          <t>SKÅNE LÄN</t>
        </is>
      </c>
      <c r="E119" t="inlineStr">
        <is>
          <t>OSBY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4798-2023</t>
        </is>
      </c>
      <c r="B120" s="1" t="n">
        <v>44957</v>
      </c>
      <c r="C120" s="1" t="n">
        <v>46194</v>
      </c>
      <c r="D120" t="inlineStr">
        <is>
          <t>SKÅNE LÄN</t>
        </is>
      </c>
      <c r="E120" t="inlineStr">
        <is>
          <t>OSBY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11555-2022</t>
        </is>
      </c>
      <c r="B121" s="1" t="n">
        <v>44631</v>
      </c>
      <c r="C121" s="1" t="n">
        <v>46194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</v>
      </c>
      <c r="C122" s="1" t="n">
        <v>46194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</v>
      </c>
      <c r="C123" s="1" t="n">
        <v>46194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</v>
      </c>
      <c r="C124" s="1" t="n">
        <v>46194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46194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46194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8382-2022</t>
        </is>
      </c>
      <c r="B127" s="1" t="n">
        <v>44610</v>
      </c>
      <c r="C127" s="1" t="n">
        <v>46194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38486-2023</t>
        </is>
      </c>
      <c r="B128" s="1" t="n">
        <v>45162</v>
      </c>
      <c r="C128" s="1" t="n">
        <v>46194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15525-2023</t>
        </is>
      </c>
      <c r="B129" s="1" t="n">
        <v>45016</v>
      </c>
      <c r="C129" s="1" t="n">
        <v>46194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11773-2023</t>
        </is>
      </c>
      <c r="B130" s="1" t="n">
        <v>44994</v>
      </c>
      <c r="C130" s="1" t="n">
        <v>46194</v>
      </c>
      <c r="D130" t="inlineStr">
        <is>
          <t>SKÅNE LÄN</t>
        </is>
      </c>
      <c r="E130" t="inlineStr">
        <is>
          <t>OSBY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55682-2023</t>
        </is>
      </c>
      <c r="B131" s="1" t="n">
        <v>45239</v>
      </c>
      <c r="C131" s="1" t="n">
        <v>46194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6605-2024</t>
        </is>
      </c>
      <c r="B132" s="1" t="n">
        <v>45341</v>
      </c>
      <c r="C132" s="1" t="n">
        <v>46194</v>
      </c>
      <c r="D132" t="inlineStr">
        <is>
          <t>SKÅNE LÄN</t>
        </is>
      </c>
      <c r="E132" t="inlineStr">
        <is>
          <t>OSBY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20643-2024</t>
        </is>
      </c>
      <c r="B133" s="1" t="n">
        <v>45436</v>
      </c>
      <c r="C133" s="1" t="n">
        <v>46194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58337-2021</t>
        </is>
      </c>
      <c r="B134" s="1" t="n">
        <v>44487</v>
      </c>
      <c r="C134" s="1" t="n">
        <v>46194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27527-2023</t>
        </is>
      </c>
      <c r="B135" s="1" t="n">
        <v>45097</v>
      </c>
      <c r="C135" s="1" t="n">
        <v>46194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9803-2024</t>
        </is>
      </c>
      <c r="B136" s="1" t="n">
        <v>45362</v>
      </c>
      <c r="C136" s="1" t="n">
        <v>46194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22636-2023</t>
        </is>
      </c>
      <c r="B137" s="1" t="n">
        <v>45071</v>
      </c>
      <c r="C137" s="1" t="n">
        <v>46194</v>
      </c>
      <c r="D137" t="inlineStr">
        <is>
          <t>SKÅNE LÄN</t>
        </is>
      </c>
      <c r="E137" t="inlineStr">
        <is>
          <t>OSBY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58562-2022</t>
        </is>
      </c>
      <c r="B138" s="1" t="n">
        <v>44902</v>
      </c>
      <c r="C138" s="1" t="n">
        <v>46194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53917-2021</t>
        </is>
      </c>
      <c r="B139" s="1" t="n">
        <v>44469</v>
      </c>
      <c r="C139" s="1" t="n">
        <v>46194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</v>
      </c>
      <c r="C140" s="1" t="n">
        <v>46194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46194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27492-2023</t>
        </is>
      </c>
      <c r="B142" s="1" t="n">
        <v>45097</v>
      </c>
      <c r="C142" s="1" t="n">
        <v>46194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22029-2022</t>
        </is>
      </c>
      <c r="B143" s="1" t="n">
        <v>44711</v>
      </c>
      <c r="C143" s="1" t="n">
        <v>46194</v>
      </c>
      <c r="D143" t="inlineStr">
        <is>
          <t>SKÅNE LÄN</t>
        </is>
      </c>
      <c r="E143" t="inlineStr">
        <is>
          <t>OSBY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</v>
      </c>
      <c r="C144" s="1" t="n">
        <v>46194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41977-2023</t>
        </is>
      </c>
      <c r="B145" s="1" t="n">
        <v>45177</v>
      </c>
      <c r="C145" s="1" t="n">
        <v>46194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15234-2025</t>
        </is>
      </c>
      <c r="B146" s="1" t="n">
        <v>45744</v>
      </c>
      <c r="C146" s="1" t="n">
        <v>46194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69093-2021</t>
        </is>
      </c>
      <c r="B147" s="1" t="n">
        <v>44530</v>
      </c>
      <c r="C147" s="1" t="n">
        <v>46194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31640-2024</t>
        </is>
      </c>
      <c r="B148" s="1" t="n">
        <v>45506</v>
      </c>
      <c r="C148" s="1" t="n">
        <v>46194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64897-2023</t>
        </is>
      </c>
      <c r="B149" s="1" t="n">
        <v>45282</v>
      </c>
      <c r="C149" s="1" t="n">
        <v>46194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</v>
      </c>
      <c r="C150" s="1" t="n">
        <v>46194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29435-2024</t>
        </is>
      </c>
      <c r="B151" s="1" t="n">
        <v>45483</v>
      </c>
      <c r="C151" s="1" t="n">
        <v>46194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2823-2023</t>
        </is>
      </c>
      <c r="B152" s="1" t="n">
        <v>44945</v>
      </c>
      <c r="C152" s="1" t="n">
        <v>46194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58154-2024</t>
        </is>
      </c>
      <c r="B153" s="1" t="n">
        <v>45632</v>
      </c>
      <c r="C153" s="1" t="n">
        <v>46194</v>
      </c>
      <c r="D153" t="inlineStr">
        <is>
          <t>SKÅNE LÄN</t>
        </is>
      </c>
      <c r="E153" t="inlineStr">
        <is>
          <t>OSBY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54187-2022</t>
        </is>
      </c>
      <c r="B154" s="1" t="n">
        <v>44881</v>
      </c>
      <c r="C154" s="1" t="n">
        <v>46194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56443-2023</t>
        </is>
      </c>
      <c r="B155" s="1" t="n">
        <v>45243</v>
      </c>
      <c r="C155" s="1" t="n">
        <v>46194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50738-2023</t>
        </is>
      </c>
      <c r="B156" s="1" t="n">
        <v>45217</v>
      </c>
      <c r="C156" s="1" t="n">
        <v>46194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24232-2023</t>
        </is>
      </c>
      <c r="B157" s="1" t="n">
        <v>45079</v>
      </c>
      <c r="C157" s="1" t="n">
        <v>46194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14308-2023</t>
        </is>
      </c>
      <c r="B158" s="1" t="n">
        <v>45011</v>
      </c>
      <c r="C158" s="1" t="n">
        <v>46194</v>
      </c>
      <c r="D158" t="inlineStr">
        <is>
          <t>SKÅNE LÄN</t>
        </is>
      </c>
      <c r="E158" t="inlineStr">
        <is>
          <t>OSBY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55292-2023</t>
        </is>
      </c>
      <c r="B159" s="1" t="n">
        <v>45237</v>
      </c>
      <c r="C159" s="1" t="n">
        <v>46194</v>
      </c>
      <c r="D159" t="inlineStr">
        <is>
          <t>SKÅNE LÄN</t>
        </is>
      </c>
      <c r="E159" t="inlineStr">
        <is>
          <t>OSBY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43947-2024</t>
        </is>
      </c>
      <c r="B160" s="1" t="n">
        <v>45572</v>
      </c>
      <c r="C160" s="1" t="n">
        <v>46194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46194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38486-2024</t>
        </is>
      </c>
      <c r="B162" s="1" t="n">
        <v>45546</v>
      </c>
      <c r="C162" s="1" t="n">
        <v>46194</v>
      </c>
      <c r="D162" t="inlineStr">
        <is>
          <t>SKÅNE LÄN</t>
        </is>
      </c>
      <c r="E162" t="inlineStr">
        <is>
          <t>OSBY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27758-2022</t>
        </is>
      </c>
      <c r="B163" s="1" t="n">
        <v>44743</v>
      </c>
      <c r="C163" s="1" t="n">
        <v>46194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48582-2023</t>
        </is>
      </c>
      <c r="B164" s="1" t="n">
        <v>45208</v>
      </c>
      <c r="C164" s="1" t="n">
        <v>46194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10775-2024</t>
        </is>
      </c>
      <c r="B165" s="1" t="n">
        <v>45369</v>
      </c>
      <c r="C165" s="1" t="n">
        <v>46194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46432-2023</t>
        </is>
      </c>
      <c r="B166" s="1" t="n">
        <v>45197</v>
      </c>
      <c r="C166" s="1" t="n">
        <v>46194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11808-2024</t>
        </is>
      </c>
      <c r="B167" s="1" t="n">
        <v>45375</v>
      </c>
      <c r="C167" s="1" t="n">
        <v>46194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58344-2024</t>
        </is>
      </c>
      <c r="B168" s="1" t="n">
        <v>45632</v>
      </c>
      <c r="C168" s="1" t="n">
        <v>46194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43856-2021</t>
        </is>
      </c>
      <c r="B169" s="1" t="n">
        <v>44434</v>
      </c>
      <c r="C169" s="1" t="n">
        <v>46194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</v>
      </c>
      <c r="C170" s="1" t="n">
        <v>46194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10714-2025</t>
        </is>
      </c>
      <c r="B171" s="1" t="n">
        <v>45722</v>
      </c>
      <c r="C171" s="1" t="n">
        <v>46194</v>
      </c>
      <c r="D171" t="inlineStr">
        <is>
          <t>SKÅNE LÄN</t>
        </is>
      </c>
      <c r="E171" t="inlineStr">
        <is>
          <t>OSBY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17616-2023</t>
        </is>
      </c>
      <c r="B172" s="1" t="n">
        <v>45036</v>
      </c>
      <c r="C172" s="1" t="n">
        <v>46194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13594-2024</t>
        </is>
      </c>
      <c r="B173" s="1" t="n">
        <v>45390</v>
      </c>
      <c r="C173" s="1" t="n">
        <v>46194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7079-2023</t>
        </is>
      </c>
      <c r="B174" s="1" t="n">
        <v>44965</v>
      </c>
      <c r="C174" s="1" t="n">
        <v>46194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56177-2021</t>
        </is>
      </c>
      <c r="B175" s="1" t="n">
        <v>44477</v>
      </c>
      <c r="C175" s="1" t="n">
        <v>46194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23234-2024</t>
        </is>
      </c>
      <c r="B176" s="1" t="n">
        <v>45453</v>
      </c>
      <c r="C176" s="1" t="n">
        <v>46194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</v>
      </c>
      <c r="C177" s="1" t="n">
        <v>46194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32584-2022</t>
        </is>
      </c>
      <c r="B178" s="1" t="n">
        <v>44783</v>
      </c>
      <c r="C178" s="1" t="n">
        <v>46194</v>
      </c>
      <c r="D178" t="inlineStr">
        <is>
          <t>SKÅNE LÄN</t>
        </is>
      </c>
      <c r="E178" t="inlineStr">
        <is>
          <t>OSBY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44429-2024</t>
        </is>
      </c>
      <c r="B179" s="1" t="n">
        <v>45573</v>
      </c>
      <c r="C179" s="1" t="n">
        <v>46194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6875-2024</t>
        </is>
      </c>
      <c r="B180" s="1" t="n">
        <v>45342</v>
      </c>
      <c r="C180" s="1" t="n">
        <v>46194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6876-2024</t>
        </is>
      </c>
      <c r="B181" s="1" t="n">
        <v>45342</v>
      </c>
      <c r="C181" s="1" t="n">
        <v>46194</v>
      </c>
      <c r="D181" t="inlineStr">
        <is>
          <t>SKÅNE LÄN</t>
        </is>
      </c>
      <c r="E181" t="inlineStr">
        <is>
          <t>OSBY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67613-2021</t>
        </is>
      </c>
      <c r="B182" s="1" t="n">
        <v>44524</v>
      </c>
      <c r="C182" s="1" t="n">
        <v>46194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67616-2021</t>
        </is>
      </c>
      <c r="B183" s="1" t="n">
        <v>44524</v>
      </c>
      <c r="C183" s="1" t="n">
        <v>46194</v>
      </c>
      <c r="D183" t="inlineStr">
        <is>
          <t>SKÅNE LÄN</t>
        </is>
      </c>
      <c r="E183" t="inlineStr">
        <is>
          <t>OSBY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3831-2024</t>
        </is>
      </c>
      <c r="B184" s="1" t="n">
        <v>45321</v>
      </c>
      <c r="C184" s="1" t="n">
        <v>46194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59252-2022</t>
        </is>
      </c>
      <c r="B185" s="1" t="n">
        <v>44904</v>
      </c>
      <c r="C185" s="1" t="n">
        <v>46194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48132-2024</t>
        </is>
      </c>
      <c r="B186" s="1" t="n">
        <v>45589</v>
      </c>
      <c r="C186" s="1" t="n">
        <v>46194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48137-2024</t>
        </is>
      </c>
      <c r="B187" s="1" t="n">
        <v>45589</v>
      </c>
      <c r="C187" s="1" t="n">
        <v>46194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22638-2023</t>
        </is>
      </c>
      <c r="B188" s="1" t="n">
        <v>45071</v>
      </c>
      <c r="C188" s="1" t="n">
        <v>46194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26946-2022</t>
        </is>
      </c>
      <c r="B189" s="1" t="n">
        <v>44740</v>
      </c>
      <c r="C189" s="1" t="n">
        <v>46194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11146-2024</t>
        </is>
      </c>
      <c r="B190" s="1" t="n">
        <v>45371</v>
      </c>
      <c r="C190" s="1" t="n">
        <v>46194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10714-2024</t>
        </is>
      </c>
      <c r="B191" s="1" t="n">
        <v>45369</v>
      </c>
      <c r="C191" s="1" t="n">
        <v>46194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17649-2023</t>
        </is>
      </c>
      <c r="B192" s="1" t="n">
        <v>45035</v>
      </c>
      <c r="C192" s="1" t="n">
        <v>46194</v>
      </c>
      <c r="D192" t="inlineStr">
        <is>
          <t>SKÅNE LÄN</t>
        </is>
      </c>
      <c r="E192" t="inlineStr">
        <is>
          <t>OSBY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28397-2023</t>
        </is>
      </c>
      <c r="B193" s="1" t="n">
        <v>45100</v>
      </c>
      <c r="C193" s="1" t="n">
        <v>46194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10967-2024</t>
        </is>
      </c>
      <c r="B194" s="1" t="n">
        <v>45370</v>
      </c>
      <c r="C194" s="1" t="n">
        <v>46194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13596-2024</t>
        </is>
      </c>
      <c r="B195" s="1" t="n">
        <v>45390</v>
      </c>
      <c r="C195" s="1" t="n">
        <v>46194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13597-2024</t>
        </is>
      </c>
      <c r="B196" s="1" t="n">
        <v>45390</v>
      </c>
      <c r="C196" s="1" t="n">
        <v>46194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32001-2023</t>
        </is>
      </c>
      <c r="B197" s="1" t="n">
        <v>45119</v>
      </c>
      <c r="C197" s="1" t="n">
        <v>46194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8367-2022</t>
        </is>
      </c>
      <c r="B198" s="1" t="n">
        <v>44610</v>
      </c>
      <c r="C198" s="1" t="n">
        <v>46194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43338-2024</t>
        </is>
      </c>
      <c r="B199" s="1" t="n">
        <v>45568</v>
      </c>
      <c r="C199" s="1" t="n">
        <v>46194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10060-2024</t>
        </is>
      </c>
      <c r="B200" s="1" t="n">
        <v>45364</v>
      </c>
      <c r="C200" s="1" t="n">
        <v>46194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50611-2023</t>
        </is>
      </c>
      <c r="B201" s="1" t="n">
        <v>45217</v>
      </c>
      <c r="C201" s="1" t="n">
        <v>46194</v>
      </c>
      <c r="D201" t="inlineStr">
        <is>
          <t>SKÅNE LÄN</t>
        </is>
      </c>
      <c r="E201" t="inlineStr">
        <is>
          <t>OSBY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47879-2024</t>
        </is>
      </c>
      <c r="B202" s="1" t="n">
        <v>45588</v>
      </c>
      <c r="C202" s="1" t="n">
        <v>46194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53773-2023</t>
        </is>
      </c>
      <c r="B203" s="1" t="n">
        <v>45231</v>
      </c>
      <c r="C203" s="1" t="n">
        <v>46194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12978-2024</t>
        </is>
      </c>
      <c r="B204" s="1" t="n">
        <v>45385</v>
      </c>
      <c r="C204" s="1" t="n">
        <v>46194</v>
      </c>
      <c r="D204" t="inlineStr">
        <is>
          <t>SKÅNE LÄN</t>
        </is>
      </c>
      <c r="E204" t="inlineStr">
        <is>
          <t>OSBY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38682-2025</t>
        </is>
      </c>
      <c r="B205" s="1" t="n">
        <v>45884</v>
      </c>
      <c r="C205" s="1" t="n">
        <v>46194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40584-2022</t>
        </is>
      </c>
      <c r="B206" s="1" t="n">
        <v>44823</v>
      </c>
      <c r="C206" s="1" t="n">
        <v>46194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34303-2024</t>
        </is>
      </c>
      <c r="B207" s="1" t="n">
        <v>45524</v>
      </c>
      <c r="C207" s="1" t="n">
        <v>46194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56877-2021</t>
        </is>
      </c>
      <c r="B208" s="1" t="n">
        <v>44481</v>
      </c>
      <c r="C208" s="1" t="n">
        <v>46194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15568-2022</t>
        </is>
      </c>
      <c r="B209" s="1" t="n">
        <v>44662</v>
      </c>
      <c r="C209" s="1" t="n">
        <v>46194</v>
      </c>
      <c r="D209" t="inlineStr">
        <is>
          <t>SKÅNE LÄN</t>
        </is>
      </c>
      <c r="E209" t="inlineStr">
        <is>
          <t>OSBY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17715-2023</t>
        </is>
      </c>
      <c r="B210" s="1" t="n">
        <v>45037</v>
      </c>
      <c r="C210" s="1" t="n">
        <v>46194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17537-2022</t>
        </is>
      </c>
      <c r="B211" s="1" t="n">
        <v>44679</v>
      </c>
      <c r="C211" s="1" t="n">
        <v>46194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22653-2024</t>
        </is>
      </c>
      <c r="B212" s="1" t="n">
        <v>45447</v>
      </c>
      <c r="C212" s="1" t="n">
        <v>46194</v>
      </c>
      <c r="D212" t="inlineStr">
        <is>
          <t>SKÅNE LÄN</t>
        </is>
      </c>
      <c r="E212" t="inlineStr">
        <is>
          <t>OSBY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26989-2023</t>
        </is>
      </c>
      <c r="B213" s="1" t="n">
        <v>45093</v>
      </c>
      <c r="C213" s="1" t="n">
        <v>46194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59257-2022</t>
        </is>
      </c>
      <c r="B214" s="1" t="n">
        <v>44904</v>
      </c>
      <c r="C214" s="1" t="n">
        <v>46194</v>
      </c>
      <c r="D214" t="inlineStr">
        <is>
          <t>SKÅNE LÄN</t>
        </is>
      </c>
      <c r="E214" t="inlineStr">
        <is>
          <t>OSBY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3846-2025</t>
        </is>
      </c>
      <c r="B215" s="1" t="n">
        <v>45683</v>
      </c>
      <c r="C215" s="1" t="n">
        <v>46194</v>
      </c>
      <c r="D215" t="inlineStr">
        <is>
          <t>SKÅNE LÄN</t>
        </is>
      </c>
      <c r="E215" t="inlineStr">
        <is>
          <t>OSBY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34934-2023</t>
        </is>
      </c>
      <c r="B216" s="1" t="n">
        <v>45141</v>
      </c>
      <c r="C216" s="1" t="n">
        <v>46194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29291-2023</t>
        </is>
      </c>
      <c r="B217" s="1" t="n">
        <v>45105</v>
      </c>
      <c r="C217" s="1" t="n">
        <v>46194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25579-2024</t>
        </is>
      </c>
      <c r="B218" s="1" t="n">
        <v>45463</v>
      </c>
      <c r="C218" s="1" t="n">
        <v>46194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36645-2022</t>
        </is>
      </c>
      <c r="B219" s="1" t="n">
        <v>44804</v>
      </c>
      <c r="C219" s="1" t="n">
        <v>46194</v>
      </c>
      <c r="D219" t="inlineStr">
        <is>
          <t>SKÅNE LÄN</t>
        </is>
      </c>
      <c r="E219" t="inlineStr">
        <is>
          <t>OSBY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8438-2024</t>
        </is>
      </c>
      <c r="B220" s="1" t="n">
        <v>45353</v>
      </c>
      <c r="C220" s="1" t="n">
        <v>46194</v>
      </c>
      <c r="D220" t="inlineStr">
        <is>
          <t>SKÅNE LÄN</t>
        </is>
      </c>
      <c r="E220" t="inlineStr">
        <is>
          <t>OSBY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74033-2021</t>
        </is>
      </c>
      <c r="B221" s="1" t="n">
        <v>44557</v>
      </c>
      <c r="C221" s="1" t="n">
        <v>46194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74050-2021</t>
        </is>
      </c>
      <c r="B222" s="1" t="n">
        <v>44557</v>
      </c>
      <c r="C222" s="1" t="n">
        <v>46194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</v>
      </c>
      <c r="C223" s="1" t="n">
        <v>46194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62425-2023</t>
        </is>
      </c>
      <c r="B224" s="1" t="n">
        <v>45268</v>
      </c>
      <c r="C224" s="1" t="n">
        <v>46194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46194</v>
      </c>
      <c r="D225" t="inlineStr">
        <is>
          <t>SKÅNE LÄN</t>
        </is>
      </c>
      <c r="E225" t="inlineStr">
        <is>
          <t>OSBY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10711-2024</t>
        </is>
      </c>
      <c r="B226" s="1" t="n">
        <v>45369</v>
      </c>
      <c r="C226" s="1" t="n">
        <v>46194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17675-2023</t>
        </is>
      </c>
      <c r="B227" s="1" t="n">
        <v>45035</v>
      </c>
      <c r="C227" s="1" t="n">
        <v>46194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36571-2024</t>
        </is>
      </c>
      <c r="B228" s="1" t="n">
        <v>45537</v>
      </c>
      <c r="C228" s="1" t="n">
        <v>46194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58747-2024</t>
        </is>
      </c>
      <c r="B229" s="1" t="n">
        <v>45635</v>
      </c>
      <c r="C229" s="1" t="n">
        <v>46194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38697-2025</t>
        </is>
      </c>
      <c r="B230" s="1" t="n">
        <v>45884</v>
      </c>
      <c r="C230" s="1" t="n">
        <v>46194</v>
      </c>
      <c r="D230" t="inlineStr">
        <is>
          <t>SKÅNE LÄN</t>
        </is>
      </c>
      <c r="E230" t="inlineStr">
        <is>
          <t>OSBY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27007-2024</t>
        </is>
      </c>
      <c r="B231" s="1" t="n">
        <v>45471</v>
      </c>
      <c r="C231" s="1" t="n">
        <v>46194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21524-2023</t>
        </is>
      </c>
      <c r="B232" s="1" t="n">
        <v>45063</v>
      </c>
      <c r="C232" s="1" t="n">
        <v>46194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6755-2022</t>
        </is>
      </c>
      <c r="B233" s="1" t="n">
        <v>44602</v>
      </c>
      <c r="C233" s="1" t="n">
        <v>46194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63297-2023</t>
        </is>
      </c>
      <c r="B234" s="1" t="n">
        <v>45273</v>
      </c>
      <c r="C234" s="1" t="n">
        <v>46194</v>
      </c>
      <c r="D234" t="inlineStr">
        <is>
          <t>SKÅNE LÄN</t>
        </is>
      </c>
      <c r="E234" t="inlineStr">
        <is>
          <t>OSBY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3451-2023</t>
        </is>
      </c>
      <c r="B235" s="1" t="n">
        <v>44949</v>
      </c>
      <c r="C235" s="1" t="n">
        <v>46194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57218-2022</t>
        </is>
      </c>
      <c r="B236" s="1" t="n">
        <v>44895</v>
      </c>
      <c r="C236" s="1" t="n">
        <v>46194</v>
      </c>
      <c r="D236" t="inlineStr">
        <is>
          <t>SKÅNE LÄN</t>
        </is>
      </c>
      <c r="E236" t="inlineStr">
        <is>
          <t>OSBY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22902-2024</t>
        </is>
      </c>
      <c r="B237" s="1" t="n">
        <v>45448</v>
      </c>
      <c r="C237" s="1" t="n">
        <v>46194</v>
      </c>
      <c r="D237" t="inlineStr">
        <is>
          <t>SKÅNE LÄN</t>
        </is>
      </c>
      <c r="E237" t="inlineStr">
        <is>
          <t>OSBY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15359-2023</t>
        </is>
      </c>
      <c r="B238" s="1" t="n">
        <v>45019</v>
      </c>
      <c r="C238" s="1" t="n">
        <v>46194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20599-2024</t>
        </is>
      </c>
      <c r="B239" s="1" t="n">
        <v>45436</v>
      </c>
      <c r="C239" s="1" t="n">
        <v>46194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22223-2024</t>
        </is>
      </c>
      <c r="B240" s="1" t="n">
        <v>45446</v>
      </c>
      <c r="C240" s="1" t="n">
        <v>46194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66984-2021</t>
        </is>
      </c>
      <c r="B241" s="1" t="n">
        <v>44522</v>
      </c>
      <c r="C241" s="1" t="n">
        <v>46194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51861-2024</t>
        </is>
      </c>
      <c r="B242" s="1" t="n">
        <v>45607</v>
      </c>
      <c r="C242" s="1" t="n">
        <v>46194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56998-2024</t>
        </is>
      </c>
      <c r="B243" s="1" t="n">
        <v>45628</v>
      </c>
      <c r="C243" s="1" t="n">
        <v>46194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61711-2024</t>
        </is>
      </c>
      <c r="B244" s="1" t="n">
        <v>45648</v>
      </c>
      <c r="C244" s="1" t="n">
        <v>46194</v>
      </c>
      <c r="D244" t="inlineStr">
        <is>
          <t>SKÅNE LÄN</t>
        </is>
      </c>
      <c r="E244" t="inlineStr">
        <is>
          <t>OSBY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29433-2024</t>
        </is>
      </c>
      <c r="B245" s="1" t="n">
        <v>45483</v>
      </c>
      <c r="C245" s="1" t="n">
        <v>46194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12068-2023</t>
        </is>
      </c>
      <c r="B246" s="1" t="n">
        <v>44997</v>
      </c>
      <c r="C246" s="1" t="n">
        <v>46194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26043-2024</t>
        </is>
      </c>
      <c r="B247" s="1" t="n">
        <v>45468</v>
      </c>
      <c r="C247" s="1" t="n">
        <v>46194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16838-2023</t>
        </is>
      </c>
      <c r="B248" s="1" t="n">
        <v>45033</v>
      </c>
      <c r="C248" s="1" t="n">
        <v>46194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59966-2024</t>
        </is>
      </c>
      <c r="B249" s="1" t="n">
        <v>45642</v>
      </c>
      <c r="C249" s="1" t="n">
        <v>46194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35777-2022</t>
        </is>
      </c>
      <c r="B250" s="1" t="n">
        <v>44801</v>
      </c>
      <c r="C250" s="1" t="n">
        <v>46194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60031-2024</t>
        </is>
      </c>
      <c r="B251" s="1" t="n">
        <v>45642</v>
      </c>
      <c r="C251" s="1" t="n">
        <v>46194</v>
      </c>
      <c r="D251" t="inlineStr">
        <is>
          <t>SKÅNE LÄN</t>
        </is>
      </c>
      <c r="E251" t="inlineStr">
        <is>
          <t>OSBY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15041-2023</t>
        </is>
      </c>
      <c r="B252" s="1" t="n">
        <v>45015</v>
      </c>
      <c r="C252" s="1" t="n">
        <v>46194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26158-2023</t>
        </is>
      </c>
      <c r="B253" s="1" t="n">
        <v>45091</v>
      </c>
      <c r="C253" s="1" t="n">
        <v>46194</v>
      </c>
      <c r="D253" t="inlineStr">
        <is>
          <t>SKÅNE LÄN</t>
        </is>
      </c>
      <c r="E253" t="inlineStr">
        <is>
          <t>OSBY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61414-2024</t>
        </is>
      </c>
      <c r="B254" s="1" t="n">
        <v>45646</v>
      </c>
      <c r="C254" s="1" t="n">
        <v>46194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54009-2023</t>
        </is>
      </c>
      <c r="B255" s="1" t="n">
        <v>45231</v>
      </c>
      <c r="C255" s="1" t="n">
        <v>46194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62117-2022</t>
        </is>
      </c>
      <c r="B256" s="1" t="n">
        <v>44921</v>
      </c>
      <c r="C256" s="1" t="n">
        <v>46194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30213-2022</t>
        </is>
      </c>
      <c r="B257" s="1" t="n">
        <v>44757</v>
      </c>
      <c r="C257" s="1" t="n">
        <v>46194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36951-2023</t>
        </is>
      </c>
      <c r="B258" s="1" t="n">
        <v>45154</v>
      </c>
      <c r="C258" s="1" t="n">
        <v>46194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23476-2024</t>
        </is>
      </c>
      <c r="B259" s="1" t="n">
        <v>45453</v>
      </c>
      <c r="C259" s="1" t="n">
        <v>46194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20113-2024</t>
        </is>
      </c>
      <c r="B260" s="1" t="n">
        <v>45434</v>
      </c>
      <c r="C260" s="1" t="n">
        <v>46194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58761-2022</t>
        </is>
      </c>
      <c r="B261" s="1" t="n">
        <v>44903</v>
      </c>
      <c r="C261" s="1" t="n">
        <v>46194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4767-2023</t>
        </is>
      </c>
      <c r="B262" s="1" t="n">
        <v>44957</v>
      </c>
      <c r="C262" s="1" t="n">
        <v>46194</v>
      </c>
      <c r="D262" t="inlineStr">
        <is>
          <t>SKÅNE LÄN</t>
        </is>
      </c>
      <c r="E262" t="inlineStr">
        <is>
          <t>OSBY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21222-2023</t>
        </is>
      </c>
      <c r="B263" s="1" t="n">
        <v>45062</v>
      </c>
      <c r="C263" s="1" t="n">
        <v>46194</v>
      </c>
      <c r="D263" t="inlineStr">
        <is>
          <t>SKÅNE LÄN</t>
        </is>
      </c>
      <c r="E263" t="inlineStr">
        <is>
          <t>OSBY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48513-2023</t>
        </is>
      </c>
      <c r="B264" s="1" t="n">
        <v>45208</v>
      </c>
      <c r="C264" s="1" t="n">
        <v>46194</v>
      </c>
      <c r="D264" t="inlineStr">
        <is>
          <t>SKÅNE LÄN</t>
        </is>
      </c>
      <c r="E264" t="inlineStr">
        <is>
          <t>OSBY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4011-2024</t>
        </is>
      </c>
      <c r="B265" s="1" t="n">
        <v>45323</v>
      </c>
      <c r="C265" s="1" t="n">
        <v>46194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51632-2024</t>
        </is>
      </c>
      <c r="B266" s="1" t="n">
        <v>45605</v>
      </c>
      <c r="C266" s="1" t="n">
        <v>46194</v>
      </c>
      <c r="D266" t="inlineStr">
        <is>
          <t>SKÅNE LÄN</t>
        </is>
      </c>
      <c r="E266" t="inlineStr">
        <is>
          <t>OSBY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51633-2024</t>
        </is>
      </c>
      <c r="B267" s="1" t="n">
        <v>45605</v>
      </c>
      <c r="C267" s="1" t="n">
        <v>46194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41654-2025</t>
        </is>
      </c>
      <c r="B268" s="1" t="n">
        <v>45902</v>
      </c>
      <c r="C268" s="1" t="n">
        <v>46194</v>
      </c>
      <c r="D268" t="inlineStr">
        <is>
          <t>SKÅNE LÄN</t>
        </is>
      </c>
      <c r="E268" t="inlineStr">
        <is>
          <t>OSBY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42565-2025</t>
        </is>
      </c>
      <c r="B269" s="1" t="n">
        <v>45905</v>
      </c>
      <c r="C269" s="1" t="n">
        <v>46194</v>
      </c>
      <c r="D269" t="inlineStr">
        <is>
          <t>SKÅNE LÄN</t>
        </is>
      </c>
      <c r="E269" t="inlineStr">
        <is>
          <t>OSBY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</v>
      </c>
      <c r="C270" s="1" t="n">
        <v>46194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42798-2025</t>
        </is>
      </c>
      <c r="B271" s="1" t="n">
        <v>45908</v>
      </c>
      <c r="C271" s="1" t="n">
        <v>46194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57839-2024</t>
        </is>
      </c>
      <c r="B272" s="1" t="n">
        <v>45630</v>
      </c>
      <c r="C272" s="1" t="n">
        <v>46194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9801-2024</t>
        </is>
      </c>
      <c r="B273" s="1" t="n">
        <v>45362</v>
      </c>
      <c r="C273" s="1" t="n">
        <v>46194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37358-2024</t>
        </is>
      </c>
      <c r="B274" s="1" t="n">
        <v>45540</v>
      </c>
      <c r="C274" s="1" t="n">
        <v>46194</v>
      </c>
      <c r="D274" t="inlineStr">
        <is>
          <t>SKÅNE LÄN</t>
        </is>
      </c>
      <c r="E274" t="inlineStr">
        <is>
          <t>OSBY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43072-2025</t>
        </is>
      </c>
      <c r="B275" s="1" t="n">
        <v>45909</v>
      </c>
      <c r="C275" s="1" t="n">
        <v>46194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63077-2021</t>
        </is>
      </c>
      <c r="B276" s="1" t="n">
        <v>44505</v>
      </c>
      <c r="C276" s="1" t="n">
        <v>46194</v>
      </c>
      <c r="D276" t="inlineStr">
        <is>
          <t>SKÅNE LÄN</t>
        </is>
      </c>
      <c r="E276" t="inlineStr">
        <is>
          <t>OSBY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4363-2025</t>
        </is>
      </c>
      <c r="B277" s="1" t="n">
        <v>45686</v>
      </c>
      <c r="C277" s="1" t="n">
        <v>46194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48774-2025</t>
        </is>
      </c>
      <c r="B278" s="1" t="n">
        <v>45936</v>
      </c>
      <c r="C278" s="1" t="n">
        <v>46194</v>
      </c>
      <c r="D278" t="inlineStr">
        <is>
          <t>SKÅNE LÄN</t>
        </is>
      </c>
      <c r="E278" t="inlineStr">
        <is>
          <t>OSBY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61979-2024</t>
        </is>
      </c>
      <c r="B279" s="1" t="n">
        <v>45646</v>
      </c>
      <c r="C279" s="1" t="n">
        <v>46194</v>
      </c>
      <c r="D279" t="inlineStr">
        <is>
          <t>SKÅNE LÄN</t>
        </is>
      </c>
      <c r="E279" t="inlineStr">
        <is>
          <t>OSBY</t>
        </is>
      </c>
      <c r="F279" t="inlineStr">
        <is>
          <t>Kyrkan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</v>
      </c>
      <c r="C280" s="1" t="n">
        <v>46194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43556-2025</t>
        </is>
      </c>
      <c r="B281" s="1" t="n">
        <v>45911</v>
      </c>
      <c r="C281" s="1" t="n">
        <v>46194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43562-2025</t>
        </is>
      </c>
      <c r="B282" s="1" t="n">
        <v>45911</v>
      </c>
      <c r="C282" s="1" t="n">
        <v>46194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26780-2023</t>
        </is>
      </c>
      <c r="B283" s="1" t="n">
        <v>45093</v>
      </c>
      <c r="C283" s="1" t="n">
        <v>46194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12600-2025</t>
        </is>
      </c>
      <c r="B284" s="1" t="n">
        <v>45733</v>
      </c>
      <c r="C284" s="1" t="n">
        <v>46194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4833-2025</t>
        </is>
      </c>
      <c r="B285" s="1" t="n">
        <v>45688</v>
      </c>
      <c r="C285" s="1" t="n">
        <v>46194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43559-2025</t>
        </is>
      </c>
      <c r="B286" s="1" t="n">
        <v>45911</v>
      </c>
      <c r="C286" s="1" t="n">
        <v>46194</v>
      </c>
      <c r="D286" t="inlineStr">
        <is>
          <t>SKÅNE LÄN</t>
        </is>
      </c>
      <c r="E286" t="inlineStr">
        <is>
          <t>OSBY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9190-2025</t>
        </is>
      </c>
      <c r="B287" s="1" t="n">
        <v>45714</v>
      </c>
      <c r="C287" s="1" t="n">
        <v>46194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43896-2025</t>
        </is>
      </c>
      <c r="B288" s="1" t="n">
        <v>45912</v>
      </c>
      <c r="C288" s="1" t="n">
        <v>46194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43930-2025</t>
        </is>
      </c>
      <c r="B289" s="1" t="n">
        <v>45915</v>
      </c>
      <c r="C289" s="1" t="n">
        <v>46194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31639-2024</t>
        </is>
      </c>
      <c r="B290" s="1" t="n">
        <v>45506</v>
      </c>
      <c r="C290" s="1" t="n">
        <v>46194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</v>
      </c>
      <c r="C291" s="1" t="n">
        <v>46194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2911-2025</t>
        </is>
      </c>
      <c r="B292" s="1" t="n">
        <v>45677</v>
      </c>
      <c r="C292" s="1" t="n">
        <v>46194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42751-2022</t>
        </is>
      </c>
      <c r="B293" s="1" t="n">
        <v>44832</v>
      </c>
      <c r="C293" s="1" t="n">
        <v>46194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15653-2024</t>
        </is>
      </c>
      <c r="B294" s="1" t="n">
        <v>45404</v>
      </c>
      <c r="C294" s="1" t="n">
        <v>46194</v>
      </c>
      <c r="D294" t="inlineStr">
        <is>
          <t>SKÅNE LÄN</t>
        </is>
      </c>
      <c r="E294" t="inlineStr">
        <is>
          <t>OSBY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4231-2025</t>
        </is>
      </c>
      <c r="B295" s="1" t="n">
        <v>45685</v>
      </c>
      <c r="C295" s="1" t="n">
        <v>46194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20894-2025</t>
        </is>
      </c>
      <c r="B296" s="1" t="n">
        <v>45777</v>
      </c>
      <c r="C296" s="1" t="n">
        <v>46194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21570-2025</t>
        </is>
      </c>
      <c r="B297" s="1" t="n">
        <v>45782</v>
      </c>
      <c r="C297" s="1" t="n">
        <v>46194</v>
      </c>
      <c r="D297" t="inlineStr">
        <is>
          <t>SKÅNE LÄN</t>
        </is>
      </c>
      <c r="E297" t="inlineStr">
        <is>
          <t>OSBY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45729-2025</t>
        </is>
      </c>
      <c r="B298" s="1" t="n">
        <v>45923</v>
      </c>
      <c r="C298" s="1" t="n">
        <v>46194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1222-2023</t>
        </is>
      </c>
      <c r="B299" s="1" t="n">
        <v>44935</v>
      </c>
      <c r="C299" s="1" t="n">
        <v>46194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13754-2025</t>
        </is>
      </c>
      <c r="B300" s="1" t="n">
        <v>45737</v>
      </c>
      <c r="C300" s="1" t="n">
        <v>46194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28240-2022</t>
        </is>
      </c>
      <c r="B301" s="1" t="n">
        <v>44746</v>
      </c>
      <c r="C301" s="1" t="n">
        <v>46194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33254-2024</t>
        </is>
      </c>
      <c r="B302" s="1" t="n">
        <v>45518</v>
      </c>
      <c r="C302" s="1" t="n">
        <v>46194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4209-2025</t>
        </is>
      </c>
      <c r="B303" s="1" t="n">
        <v>45685</v>
      </c>
      <c r="C303" s="1" t="n">
        <v>46194</v>
      </c>
      <c r="D303" t="inlineStr">
        <is>
          <t>SKÅNE LÄN</t>
        </is>
      </c>
      <c r="E303" t="inlineStr">
        <is>
          <t>OSBY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7211-2025</t>
        </is>
      </c>
      <c r="B304" s="1" t="n">
        <v>45702</v>
      </c>
      <c r="C304" s="1" t="n">
        <v>46194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47334-2025</t>
        </is>
      </c>
      <c r="B305" s="1" t="n">
        <v>45930</v>
      </c>
      <c r="C305" s="1" t="n">
        <v>46194</v>
      </c>
      <c r="D305" t="inlineStr">
        <is>
          <t>SKÅNE LÄN</t>
        </is>
      </c>
      <c r="E305" t="inlineStr">
        <is>
          <t>OSBY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46194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10673-2025</t>
        </is>
      </c>
      <c r="B307" s="1" t="n">
        <v>45721</v>
      </c>
      <c r="C307" s="1" t="n">
        <v>46194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12413-2025</t>
        </is>
      </c>
      <c r="B308" s="1" t="n">
        <v>45730</v>
      </c>
      <c r="C308" s="1" t="n">
        <v>46194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27514-2024</t>
        </is>
      </c>
      <c r="B309" s="1" t="n">
        <v>45474</v>
      </c>
      <c r="C309" s="1" t="n">
        <v>46194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31195-2024</t>
        </is>
      </c>
      <c r="B310" s="1" t="n">
        <v>45503</v>
      </c>
      <c r="C310" s="1" t="n">
        <v>46194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59679-2023</t>
        </is>
      </c>
      <c r="B311" s="1" t="n">
        <v>45255</v>
      </c>
      <c r="C311" s="1" t="n">
        <v>46194</v>
      </c>
      <c r="D311" t="inlineStr">
        <is>
          <t>SKÅNE LÄN</t>
        </is>
      </c>
      <c r="E311" t="inlineStr">
        <is>
          <t>OSBY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11908-2025</t>
        </is>
      </c>
      <c r="B312" s="1" t="n">
        <v>45728</v>
      </c>
      <c r="C312" s="1" t="n">
        <v>46194</v>
      </c>
      <c r="D312" t="inlineStr">
        <is>
          <t>SKÅNE LÄN</t>
        </is>
      </c>
      <c r="E312" t="inlineStr">
        <is>
          <t>OSBY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57710-2024</t>
        </is>
      </c>
      <c r="B313" s="1" t="n">
        <v>45630</v>
      </c>
      <c r="C313" s="1" t="n">
        <v>46194</v>
      </c>
      <c r="D313" t="inlineStr">
        <is>
          <t>SKÅNE LÄN</t>
        </is>
      </c>
      <c r="E313" t="inlineStr">
        <is>
          <t>OSBY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</v>
      </c>
      <c r="C314" s="1" t="n">
        <v>46194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</v>
      </c>
      <c r="C315" s="1" t="n">
        <v>46194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</v>
      </c>
      <c r="C316" s="1" t="n">
        <v>46194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46194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61364-2023</t>
        </is>
      </c>
      <c r="B318" s="1" t="n">
        <v>45264</v>
      </c>
      <c r="C318" s="1" t="n">
        <v>46194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43931-2022</t>
        </is>
      </c>
      <c r="B319" s="1" t="n">
        <v>44838</v>
      </c>
      <c r="C319" s="1" t="n">
        <v>46194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45906-2023</t>
        </is>
      </c>
      <c r="B320" s="1" t="n">
        <v>45195</v>
      </c>
      <c r="C320" s="1" t="n">
        <v>46194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48785-2025</t>
        </is>
      </c>
      <c r="B321" s="1" t="n">
        <v>45937</v>
      </c>
      <c r="C321" s="1" t="n">
        <v>46194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48796-2025</t>
        </is>
      </c>
      <c r="B322" s="1" t="n">
        <v>45937</v>
      </c>
      <c r="C322" s="1" t="n">
        <v>46194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</v>
      </c>
      <c r="C323" s="1" t="n">
        <v>46194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9987-2025</t>
        </is>
      </c>
      <c r="B324" s="1" t="n">
        <v>45719</v>
      </c>
      <c r="C324" s="1" t="n">
        <v>46194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48789-2025</t>
        </is>
      </c>
      <c r="B325" s="1" t="n">
        <v>45937</v>
      </c>
      <c r="C325" s="1" t="n">
        <v>46194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43516-2021</t>
        </is>
      </c>
      <c r="B326" s="1" t="n">
        <v>44433</v>
      </c>
      <c r="C326" s="1" t="n">
        <v>46194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48797-2025</t>
        </is>
      </c>
      <c r="B327" s="1" t="n">
        <v>45937</v>
      </c>
      <c r="C327" s="1" t="n">
        <v>46194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46194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46194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8208-2025</t>
        </is>
      </c>
      <c r="B330" s="1" t="n">
        <v>45708</v>
      </c>
      <c r="C330" s="1" t="n">
        <v>46194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46194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61520-2022</t>
        </is>
      </c>
      <c r="B332" s="1" t="n">
        <v>44910</v>
      </c>
      <c r="C332" s="1" t="n">
        <v>46194</v>
      </c>
      <c r="D332" t="inlineStr">
        <is>
          <t>SKÅNE LÄN</t>
        </is>
      </c>
      <c r="E332" t="inlineStr">
        <is>
          <t>OSBY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</v>
      </c>
      <c r="C333" s="1" t="n">
        <v>46194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61024-2023</t>
        </is>
      </c>
      <c r="B334" s="1" t="n">
        <v>45259</v>
      </c>
      <c r="C334" s="1" t="n">
        <v>46194</v>
      </c>
      <c r="D334" t="inlineStr">
        <is>
          <t>SKÅNE LÄN</t>
        </is>
      </c>
      <c r="E334" t="inlineStr">
        <is>
          <t>OSBY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13959-2025</t>
        </is>
      </c>
      <c r="B335" s="1" t="n">
        <v>45737</v>
      </c>
      <c r="C335" s="1" t="n">
        <v>46194</v>
      </c>
      <c r="D335" t="inlineStr">
        <is>
          <t>SKÅNE LÄN</t>
        </is>
      </c>
      <c r="E335" t="inlineStr">
        <is>
          <t>OSBY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</v>
      </c>
      <c r="C336" s="1" t="n">
        <v>46194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57990-2022</t>
        </is>
      </c>
      <c r="B337" s="1" t="n">
        <v>44900</v>
      </c>
      <c r="C337" s="1" t="n">
        <v>46194</v>
      </c>
      <c r="D337" t="inlineStr">
        <is>
          <t>SKÅNE LÄN</t>
        </is>
      </c>
      <c r="E337" t="inlineStr">
        <is>
          <t>OSBY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26452-2026</t>
        </is>
      </c>
      <c r="B338" s="1" t="n">
        <v>46183</v>
      </c>
      <c r="C338" s="1" t="n">
        <v>46194</v>
      </c>
      <c r="D338" t="inlineStr">
        <is>
          <t>SKÅNE LÄN</t>
        </is>
      </c>
      <c r="E338" t="inlineStr">
        <is>
          <t>OSBY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</v>
      </c>
      <c r="C339" s="1" t="n">
        <v>46194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46194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41557-2022</t>
        </is>
      </c>
      <c r="B341" s="1" t="n">
        <v>44827</v>
      </c>
      <c r="C341" s="1" t="n">
        <v>46194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15893-2025</t>
        </is>
      </c>
      <c r="B342" s="1" t="n">
        <v>45749</v>
      </c>
      <c r="C342" s="1" t="n">
        <v>46194</v>
      </c>
      <c r="D342" t="inlineStr">
        <is>
          <t>SKÅNE LÄN</t>
        </is>
      </c>
      <c r="E342" t="inlineStr">
        <is>
          <t>OSBY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8838-2024</t>
        </is>
      </c>
      <c r="B343" s="1" t="n">
        <v>45356</v>
      </c>
      <c r="C343" s="1" t="n">
        <v>46194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58638-2022</t>
        </is>
      </c>
      <c r="B344" s="1" t="n">
        <v>44902</v>
      </c>
      <c r="C344" s="1" t="n">
        <v>46194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12872-2025</t>
        </is>
      </c>
      <c r="B345" s="1" t="n">
        <v>45733</v>
      </c>
      <c r="C345" s="1" t="n">
        <v>46194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8207-2025</t>
        </is>
      </c>
      <c r="B346" s="1" t="n">
        <v>45708</v>
      </c>
      <c r="C346" s="1" t="n">
        <v>46194</v>
      </c>
      <c r="D346" t="inlineStr">
        <is>
          <t>SKÅNE LÄN</t>
        </is>
      </c>
      <c r="E346" t="inlineStr">
        <is>
          <t>OSBY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57222-2022</t>
        </is>
      </c>
      <c r="B347" s="1" t="n">
        <v>44895</v>
      </c>
      <c r="C347" s="1" t="n">
        <v>46194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20813-2023</t>
        </is>
      </c>
      <c r="B348" s="1" t="n">
        <v>45055</v>
      </c>
      <c r="C348" s="1" t="n">
        <v>46194</v>
      </c>
      <c r="D348" t="inlineStr">
        <is>
          <t>SKÅNE LÄN</t>
        </is>
      </c>
      <c r="E348" t="inlineStr">
        <is>
          <t>OSBY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26591-2026</t>
        </is>
      </c>
      <c r="B349" s="1" t="n">
        <v>46183</v>
      </c>
      <c r="C349" s="1" t="n">
        <v>46194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40035-2024</t>
        </is>
      </c>
      <c r="B350" s="1" t="n">
        <v>45553</v>
      </c>
      <c r="C350" s="1" t="n">
        <v>46194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26631-2026</t>
        </is>
      </c>
      <c r="B351" s="1" t="n">
        <v>46184</v>
      </c>
      <c r="C351" s="1" t="n">
        <v>46194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26470-2026</t>
        </is>
      </c>
      <c r="B352" s="1" t="n">
        <v>46183</v>
      </c>
      <c r="C352" s="1" t="n">
        <v>46194</v>
      </c>
      <c r="D352" t="inlineStr">
        <is>
          <t>SKÅNE LÄN</t>
        </is>
      </c>
      <c r="E352" t="inlineStr">
        <is>
          <t>OSBY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26988-2024</t>
        </is>
      </c>
      <c r="B353" s="1" t="n">
        <v>45471</v>
      </c>
      <c r="C353" s="1" t="n">
        <v>46194</v>
      </c>
      <c r="D353" t="inlineStr">
        <is>
          <t>SKÅNE LÄN</t>
        </is>
      </c>
      <c r="E353" t="inlineStr">
        <is>
          <t>OSBY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25703-2025</t>
        </is>
      </c>
      <c r="B354" s="1" t="n">
        <v>45803</v>
      </c>
      <c r="C354" s="1" t="n">
        <v>46194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41547-2022</t>
        </is>
      </c>
      <c r="B355" s="1" t="n">
        <v>44826</v>
      </c>
      <c r="C355" s="1" t="n">
        <v>46194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9651-2024</t>
        </is>
      </c>
      <c r="B356" s="1" t="n">
        <v>45360</v>
      </c>
      <c r="C356" s="1" t="n">
        <v>46194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11048-2025</t>
        </is>
      </c>
      <c r="B357" s="1" t="n">
        <v>45723</v>
      </c>
      <c r="C357" s="1" t="n">
        <v>46194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26222-2025</t>
        </is>
      </c>
      <c r="B358" s="1" t="n">
        <v>45805</v>
      </c>
      <c r="C358" s="1" t="n">
        <v>46194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49622-2023</t>
        </is>
      </c>
      <c r="B359" s="1" t="n">
        <v>45211</v>
      </c>
      <c r="C359" s="1" t="n">
        <v>46194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52857-2022</t>
        </is>
      </c>
      <c r="B360" s="1" t="n">
        <v>44872</v>
      </c>
      <c r="C360" s="1" t="n">
        <v>46194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62116-2022</t>
        </is>
      </c>
      <c r="B361" s="1" t="n">
        <v>44921</v>
      </c>
      <c r="C361" s="1" t="n">
        <v>46194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31991-2023</t>
        </is>
      </c>
      <c r="B362" s="1" t="n">
        <v>45107</v>
      </c>
      <c r="C362" s="1" t="n">
        <v>46194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54218-2025</t>
        </is>
      </c>
      <c r="B363" s="1" t="n">
        <v>45964</v>
      </c>
      <c r="C363" s="1" t="n">
        <v>46194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46194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</v>
      </c>
      <c r="C365" s="1" t="n">
        <v>46194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15143-2023</t>
        </is>
      </c>
      <c r="B366" s="1" t="n">
        <v>45015</v>
      </c>
      <c r="C366" s="1" t="n">
        <v>46194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24446-2023</t>
        </is>
      </c>
      <c r="B367" s="1" t="n">
        <v>45082</v>
      </c>
      <c r="C367" s="1" t="n">
        <v>46194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46194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</v>
      </c>
      <c r="C369" s="1" t="n">
        <v>46194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58751-2024</t>
        </is>
      </c>
      <c r="B370" s="1" t="n">
        <v>45635</v>
      </c>
      <c r="C370" s="1" t="n">
        <v>46194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30275-2023</t>
        </is>
      </c>
      <c r="B371" s="1" t="n">
        <v>45110</v>
      </c>
      <c r="C371" s="1" t="n">
        <v>46194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55612-2025</t>
        </is>
      </c>
      <c r="B372" s="1" t="n">
        <v>45971</v>
      </c>
      <c r="C372" s="1" t="n">
        <v>46194</v>
      </c>
      <c r="D372" t="inlineStr">
        <is>
          <t>SKÅNE LÄN</t>
        </is>
      </c>
      <c r="E372" t="inlineStr">
        <is>
          <t>OSBY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13138-2023</t>
        </is>
      </c>
      <c r="B373" s="1" t="n">
        <v>45002</v>
      </c>
      <c r="C373" s="1" t="n">
        <v>46194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15733-2024</t>
        </is>
      </c>
      <c r="B374" s="1" t="n">
        <v>45404</v>
      </c>
      <c r="C374" s="1" t="n">
        <v>46194</v>
      </c>
      <c r="D374" t="inlineStr">
        <is>
          <t>SKÅNE LÄN</t>
        </is>
      </c>
      <c r="E374" t="inlineStr">
        <is>
          <t>OSBY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48126-2024</t>
        </is>
      </c>
      <c r="B375" s="1" t="n">
        <v>45589</v>
      </c>
      <c r="C375" s="1" t="n">
        <v>46194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23813-2023</t>
        </is>
      </c>
      <c r="B376" s="1" t="n">
        <v>45078</v>
      </c>
      <c r="C376" s="1" t="n">
        <v>46194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23816-2023</t>
        </is>
      </c>
      <c r="B377" s="1" t="n">
        <v>45078</v>
      </c>
      <c r="C377" s="1" t="n">
        <v>46194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55849-2025</t>
        </is>
      </c>
      <c r="B378" s="1" t="n">
        <v>45973</v>
      </c>
      <c r="C378" s="1" t="n">
        <v>46194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74016-2021</t>
        </is>
      </c>
      <c r="B379" s="1" t="n">
        <v>44557</v>
      </c>
      <c r="C379" s="1" t="n">
        <v>46194</v>
      </c>
      <c r="D379" t="inlineStr">
        <is>
          <t>SKÅNE LÄN</t>
        </is>
      </c>
      <c r="E379" t="inlineStr">
        <is>
          <t>OSBY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46194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31667-2025</t>
        </is>
      </c>
      <c r="B381" s="1" t="n">
        <v>45834</v>
      </c>
      <c r="C381" s="1" t="n">
        <v>46194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68592-2021</t>
        </is>
      </c>
      <c r="B382" s="1" t="n">
        <v>44529</v>
      </c>
      <c r="C382" s="1" t="n">
        <v>46194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31638-2025</t>
        </is>
      </c>
      <c r="B383" s="1" t="n">
        <v>45834</v>
      </c>
      <c r="C383" s="1" t="n">
        <v>46194</v>
      </c>
      <c r="D383" t="inlineStr">
        <is>
          <t>SKÅNE LÄN</t>
        </is>
      </c>
      <c r="E383" t="inlineStr">
        <is>
          <t>OSBY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</v>
      </c>
      <c r="C384" s="1" t="n">
        <v>46194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46194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31947-2025</t>
        </is>
      </c>
      <c r="B386" s="1" t="n">
        <v>45835</v>
      </c>
      <c r="C386" s="1" t="n">
        <v>46194</v>
      </c>
      <c r="D386" t="inlineStr">
        <is>
          <t>SKÅNE LÄN</t>
        </is>
      </c>
      <c r="E386" t="inlineStr">
        <is>
          <t>OSBY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</v>
      </c>
      <c r="C387" s="1" t="n">
        <v>46194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57856-2024</t>
        </is>
      </c>
      <c r="B388" s="1" t="n">
        <v>45630</v>
      </c>
      <c r="C388" s="1" t="n">
        <v>46194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32520-2025</t>
        </is>
      </c>
      <c r="B389" s="1" t="n">
        <v>45838</v>
      </c>
      <c r="C389" s="1" t="n">
        <v>46194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33251-2024</t>
        </is>
      </c>
      <c r="B390" s="1" t="n">
        <v>45518</v>
      </c>
      <c r="C390" s="1" t="n">
        <v>46194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21656-2023</t>
        </is>
      </c>
      <c r="B391" s="1" t="n">
        <v>45063</v>
      </c>
      <c r="C391" s="1" t="n">
        <v>46194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6698-2023</t>
        </is>
      </c>
      <c r="B392" s="1" t="n">
        <v>44966</v>
      </c>
      <c r="C392" s="1" t="n">
        <v>46194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50880-2022</t>
        </is>
      </c>
      <c r="B393" s="1" t="n">
        <v>44867</v>
      </c>
      <c r="C393" s="1" t="n">
        <v>46194</v>
      </c>
      <c r="D393" t="inlineStr">
        <is>
          <t>SKÅNE LÄN</t>
        </is>
      </c>
      <c r="E393" t="inlineStr">
        <is>
          <t>OSBY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47880-2024</t>
        </is>
      </c>
      <c r="B394" s="1" t="n">
        <v>45588</v>
      </c>
      <c r="C394" s="1" t="n">
        <v>46194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30145-2025</t>
        </is>
      </c>
      <c r="B395" s="1" t="n">
        <v>45826</v>
      </c>
      <c r="C395" s="1" t="n">
        <v>46194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</v>
      </c>
      <c r="C396" s="1" t="n">
        <v>46194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34966-2023</t>
        </is>
      </c>
      <c r="B397" s="1" t="n">
        <v>45141</v>
      </c>
      <c r="C397" s="1" t="n">
        <v>46194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58603-2025</t>
        </is>
      </c>
      <c r="B398" s="1" t="n">
        <v>45986</v>
      </c>
      <c r="C398" s="1" t="n">
        <v>46194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41529-2023</t>
        </is>
      </c>
      <c r="B399" s="1" t="n">
        <v>45175</v>
      </c>
      <c r="C399" s="1" t="n">
        <v>46194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34238-2025</t>
        </is>
      </c>
      <c r="B400" s="1" t="n">
        <v>45844</v>
      </c>
      <c r="C400" s="1" t="n">
        <v>46194</v>
      </c>
      <c r="D400" t="inlineStr">
        <is>
          <t>SKÅNE LÄN</t>
        </is>
      </c>
      <c r="E400" t="inlineStr">
        <is>
          <t>OSBY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62114-2024</t>
        </is>
      </c>
      <c r="B401" s="1" t="n">
        <v>45656</v>
      </c>
      <c r="C401" s="1" t="n">
        <v>46194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38485-2023</t>
        </is>
      </c>
      <c r="B402" s="1" t="n">
        <v>45162</v>
      </c>
      <c r="C402" s="1" t="n">
        <v>46194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34053-2025</t>
        </is>
      </c>
      <c r="B403" s="1" t="n">
        <v>45845</v>
      </c>
      <c r="C403" s="1" t="n">
        <v>46194</v>
      </c>
      <c r="D403" t="inlineStr">
        <is>
          <t>SKÅNE LÄN</t>
        </is>
      </c>
      <c r="E403" t="inlineStr">
        <is>
          <t>OSBY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34227-2025</t>
        </is>
      </c>
      <c r="B404" s="1" t="n">
        <v>45844</v>
      </c>
      <c r="C404" s="1" t="n">
        <v>46194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60404-2024</t>
        </is>
      </c>
      <c r="B405" s="1" t="n">
        <v>45643</v>
      </c>
      <c r="C405" s="1" t="n">
        <v>46194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</v>
      </c>
      <c r="C406" s="1" t="n">
        <v>46194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31624-2023</t>
        </is>
      </c>
      <c r="B407" s="1" t="n">
        <v>45117</v>
      </c>
      <c r="C407" s="1" t="n">
        <v>46194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33741-2024</t>
        </is>
      </c>
      <c r="B408" s="1" t="n">
        <v>45520</v>
      </c>
      <c r="C408" s="1" t="n">
        <v>46194</v>
      </c>
      <c r="D408" t="inlineStr">
        <is>
          <t>SKÅNE LÄN</t>
        </is>
      </c>
      <c r="E408" t="inlineStr">
        <is>
          <t>OSBY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14307-2023</t>
        </is>
      </c>
      <c r="B409" s="1" t="n">
        <v>45011</v>
      </c>
      <c r="C409" s="1" t="n">
        <v>46194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34237-2025</t>
        </is>
      </c>
      <c r="B410" s="1" t="n">
        <v>45844</v>
      </c>
      <c r="C410" s="1" t="n">
        <v>46194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27005-2024</t>
        </is>
      </c>
      <c r="B411" s="1" t="n">
        <v>45471</v>
      </c>
      <c r="C411" s="1" t="n">
        <v>46194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3454-2022</t>
        </is>
      </c>
      <c r="B412" s="1" t="n">
        <v>44585</v>
      </c>
      <c r="C412" s="1" t="n">
        <v>46194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15232-2025</t>
        </is>
      </c>
      <c r="B413" s="1" t="n">
        <v>45744</v>
      </c>
      <c r="C413" s="1" t="n">
        <v>46194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36232-2024</t>
        </is>
      </c>
      <c r="B414" s="1" t="n">
        <v>45534</v>
      </c>
      <c r="C414" s="1" t="n">
        <v>46194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27374-2026</t>
        </is>
      </c>
      <c r="B415" s="1" t="n">
        <v>46189</v>
      </c>
      <c r="C415" s="1" t="n">
        <v>46194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36229-2024</t>
        </is>
      </c>
      <c r="B416" s="1" t="n">
        <v>45534</v>
      </c>
      <c r="C416" s="1" t="n">
        <v>46194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60362-2025</t>
        </is>
      </c>
      <c r="B417" s="1" t="n">
        <v>45995</v>
      </c>
      <c r="C417" s="1" t="n">
        <v>46194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27375-2026</t>
        </is>
      </c>
      <c r="B418" s="1" t="n">
        <v>46189</v>
      </c>
      <c r="C418" s="1" t="n">
        <v>46194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60743-2025</t>
        </is>
      </c>
      <c r="B419" s="1" t="n">
        <v>45996</v>
      </c>
      <c r="C419" s="1" t="n">
        <v>46194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36267-2025</t>
        </is>
      </c>
      <c r="B420" s="1" t="n">
        <v>45867</v>
      </c>
      <c r="C420" s="1" t="n">
        <v>46194</v>
      </c>
      <c r="D420" t="inlineStr">
        <is>
          <t>SKÅNE LÄN</t>
        </is>
      </c>
      <c r="E420" t="inlineStr">
        <is>
          <t>OSBY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50728-2023</t>
        </is>
      </c>
      <c r="B421" s="1" t="n">
        <v>45217</v>
      </c>
      <c r="C421" s="1" t="n">
        <v>46194</v>
      </c>
      <c r="D421" t="inlineStr">
        <is>
          <t>SKÅNE LÄN</t>
        </is>
      </c>
      <c r="E421" t="inlineStr">
        <is>
          <t>OSBY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17673-2023</t>
        </is>
      </c>
      <c r="B422" s="1" t="n">
        <v>45035</v>
      </c>
      <c r="C422" s="1" t="n">
        <v>46194</v>
      </c>
      <c r="D422" t="inlineStr">
        <is>
          <t>SKÅNE LÄN</t>
        </is>
      </c>
      <c r="E422" t="inlineStr">
        <is>
          <t>OSBY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61797-2025</t>
        </is>
      </c>
      <c r="B423" s="1" t="n">
        <v>46002</v>
      </c>
      <c r="C423" s="1" t="n">
        <v>46194</v>
      </c>
      <c r="D423" t="inlineStr">
        <is>
          <t>SKÅNE LÄN</t>
        </is>
      </c>
      <c r="E423" t="inlineStr">
        <is>
          <t>OSBY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27488-2026</t>
        </is>
      </c>
      <c r="B424" s="1" t="n">
        <v>46189</v>
      </c>
      <c r="C424" s="1" t="n">
        <v>46194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27489-2026</t>
        </is>
      </c>
      <c r="B425" s="1" t="n">
        <v>46189</v>
      </c>
      <c r="C425" s="1" t="n">
        <v>46194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27493-2026</t>
        </is>
      </c>
      <c r="B426" s="1" t="n">
        <v>46189</v>
      </c>
      <c r="C426" s="1" t="n">
        <v>46194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42751-2022</t>
        </is>
      </c>
      <c r="B427" s="1" t="n">
        <v>44832</v>
      </c>
      <c r="C427" s="1" t="n">
        <v>46194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27483-2026</t>
        </is>
      </c>
      <c r="B428" s="1" t="n">
        <v>46189</v>
      </c>
      <c r="C428" s="1" t="n">
        <v>46194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27486-2026</t>
        </is>
      </c>
      <c r="B429" s="1" t="n">
        <v>46189</v>
      </c>
      <c r="C429" s="1" t="n">
        <v>46194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27503-2026</t>
        </is>
      </c>
      <c r="B430" s="1" t="n">
        <v>46189</v>
      </c>
      <c r="C430" s="1" t="n">
        <v>46194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13109-2022</t>
        </is>
      </c>
      <c r="B431" s="1" t="n">
        <v>44644</v>
      </c>
      <c r="C431" s="1" t="n">
        <v>46194</v>
      </c>
      <c r="D431" t="inlineStr">
        <is>
          <t>SKÅNE LÄN</t>
        </is>
      </c>
      <c r="E431" t="inlineStr">
        <is>
          <t>OSBY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23479-2024</t>
        </is>
      </c>
      <c r="B432" s="1" t="n">
        <v>45453</v>
      </c>
      <c r="C432" s="1" t="n">
        <v>46194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</v>
      </c>
      <c r="C433" s="1" t="n">
        <v>46194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62571-2025</t>
        </is>
      </c>
      <c r="B434" s="1" t="n">
        <v>46007</v>
      </c>
      <c r="C434" s="1" t="n">
        <v>46194</v>
      </c>
      <c r="D434" t="inlineStr">
        <is>
          <t>SKÅNE LÄN</t>
        </is>
      </c>
      <c r="E434" t="inlineStr">
        <is>
          <t>OSBY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</v>
      </c>
      <c r="C435" s="1" t="n">
        <v>46194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27476-2026</t>
        </is>
      </c>
      <c r="B436" s="1" t="n">
        <v>46189</v>
      </c>
      <c r="C436" s="1" t="n">
        <v>46194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27480-2026</t>
        </is>
      </c>
      <c r="B437" s="1" t="n">
        <v>46189</v>
      </c>
      <c r="C437" s="1" t="n">
        <v>46194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27479-2026</t>
        </is>
      </c>
      <c r="B438" s="1" t="n">
        <v>46189</v>
      </c>
      <c r="C438" s="1" t="n">
        <v>46194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27481-2026</t>
        </is>
      </c>
      <c r="B439" s="1" t="n">
        <v>46189</v>
      </c>
      <c r="C439" s="1" t="n">
        <v>46194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27491-2026</t>
        </is>
      </c>
      <c r="B440" s="1" t="n">
        <v>46189</v>
      </c>
      <c r="C440" s="1" t="n">
        <v>46194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46246-2023</t>
        </is>
      </c>
      <c r="B441" s="1" t="n">
        <v>45196</v>
      </c>
      <c r="C441" s="1" t="n">
        <v>46194</v>
      </c>
      <c r="D441" t="inlineStr">
        <is>
          <t>SKÅNE LÄN</t>
        </is>
      </c>
      <c r="E441" t="inlineStr">
        <is>
          <t>OSBY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3452-2022</t>
        </is>
      </c>
      <c r="B442" s="1" t="n">
        <v>44585</v>
      </c>
      <c r="C442" s="1" t="n">
        <v>46194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53894-2025</t>
        </is>
      </c>
      <c r="B443" s="1" t="n">
        <v>45961</v>
      </c>
      <c r="C443" s="1" t="n">
        <v>46194</v>
      </c>
      <c r="D443" t="inlineStr">
        <is>
          <t>SKÅNE LÄN</t>
        </is>
      </c>
      <c r="E443" t="inlineStr">
        <is>
          <t>OSBY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27495-2026</t>
        </is>
      </c>
      <c r="B444" s="1" t="n">
        <v>46189</v>
      </c>
      <c r="C444" s="1" t="n">
        <v>46194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63892-2025</t>
        </is>
      </c>
      <c r="B445" s="1" t="n">
        <v>46020</v>
      </c>
      <c r="C445" s="1" t="n">
        <v>46194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31970-2023</t>
        </is>
      </c>
      <c r="B446" s="1" t="n">
        <v>45119</v>
      </c>
      <c r="C446" s="1" t="n">
        <v>46194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63893-2025</t>
        </is>
      </c>
      <c r="B447" s="1" t="n">
        <v>46020</v>
      </c>
      <c r="C447" s="1" t="n">
        <v>46194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23299-2024</t>
        </is>
      </c>
      <c r="B448" s="1" t="n">
        <v>45453</v>
      </c>
      <c r="C448" s="1" t="n">
        <v>46194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21763-2026</t>
        </is>
      </c>
      <c r="B449" s="1" t="n">
        <v>46150</v>
      </c>
      <c r="C449" s="1" t="n">
        <v>46194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25149-2026</t>
        </is>
      </c>
      <c r="B450" s="1" t="n">
        <v>46175</v>
      </c>
      <c r="C450" s="1" t="n">
        <v>46194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42614-2025</t>
        </is>
      </c>
      <c r="B451" s="1" t="n">
        <v>45905</v>
      </c>
      <c r="C451" s="1" t="n">
        <v>46194</v>
      </c>
      <c r="D451" t="inlineStr">
        <is>
          <t>SKÅNE LÄN</t>
        </is>
      </c>
      <c r="E451" t="inlineStr">
        <is>
          <t>OSBY</t>
        </is>
      </c>
      <c r="F451" t="inlineStr">
        <is>
          <t>Kyrkan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5990-2025</t>
        </is>
      </c>
      <c r="B452" s="1" t="n">
        <v>45695</v>
      </c>
      <c r="C452" s="1" t="n">
        <v>46194</v>
      </c>
      <c r="D452" t="inlineStr">
        <is>
          <t>SKÅNE LÄN</t>
        </is>
      </c>
      <c r="E452" t="inlineStr">
        <is>
          <t>OSBY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52409-2024</t>
        </is>
      </c>
      <c r="B453" s="1" t="n">
        <v>45609</v>
      </c>
      <c r="C453" s="1" t="n">
        <v>46194</v>
      </c>
      <c r="D453" t="inlineStr">
        <is>
          <t>SKÅNE LÄN</t>
        </is>
      </c>
      <c r="E453" t="inlineStr">
        <is>
          <t>OSBY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691-2026</t>
        </is>
      </c>
      <c r="B454" s="1" t="n">
        <v>46029</v>
      </c>
      <c r="C454" s="1" t="n">
        <v>46194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546-2026</t>
        </is>
      </c>
      <c r="B455" s="1" t="n">
        <v>46029</v>
      </c>
      <c r="C455" s="1" t="n">
        <v>46194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1634-2026</t>
        </is>
      </c>
      <c r="B456" s="1" t="n">
        <v>46034</v>
      </c>
      <c r="C456" s="1" t="n">
        <v>46194</v>
      </c>
      <c r="D456" t="inlineStr">
        <is>
          <t>SKÅNE LÄN</t>
        </is>
      </c>
      <c r="E456" t="inlineStr">
        <is>
          <t>OSBY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35875-2023</t>
        </is>
      </c>
      <c r="B457" s="1" t="n">
        <v>45148</v>
      </c>
      <c r="C457" s="1" t="n">
        <v>46194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15797-2022</t>
        </is>
      </c>
      <c r="B458" s="1" t="n">
        <v>44663</v>
      </c>
      <c r="C458" s="1" t="n">
        <v>46194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1152-2025</t>
        </is>
      </c>
      <c r="B459" s="1" t="n">
        <v>45666</v>
      </c>
      <c r="C459" s="1" t="n">
        <v>46194</v>
      </c>
      <c r="D459" t="inlineStr">
        <is>
          <t>SKÅNE LÄN</t>
        </is>
      </c>
      <c r="E459" t="inlineStr">
        <is>
          <t>OSBY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34581-2023</t>
        </is>
      </c>
      <c r="B460" s="1" t="n">
        <v>45140</v>
      </c>
      <c r="C460" s="1" t="n">
        <v>46194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</v>
      </c>
      <c r="C461" s="1" t="n">
        <v>46194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</v>
      </c>
      <c r="C462" s="1" t="n">
        <v>46194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48840-2023</t>
        </is>
      </c>
      <c r="B463" s="1" t="n">
        <v>45209</v>
      </c>
      <c r="C463" s="1" t="n">
        <v>46194</v>
      </c>
      <c r="D463" t="inlineStr">
        <is>
          <t>SKÅNE LÄN</t>
        </is>
      </c>
      <c r="E463" t="inlineStr">
        <is>
          <t>OSBY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2666-2026</t>
        </is>
      </c>
      <c r="B464" s="1" t="n">
        <v>46037</v>
      </c>
      <c r="C464" s="1" t="n">
        <v>46194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31758-2022</t>
        </is>
      </c>
      <c r="B465" s="1" t="n">
        <v>44776</v>
      </c>
      <c r="C465" s="1" t="n">
        <v>46194</v>
      </c>
      <c r="D465" t="inlineStr">
        <is>
          <t>SKÅNE LÄN</t>
        </is>
      </c>
      <c r="E465" t="inlineStr">
        <is>
          <t>OSBY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45420-2023</t>
        </is>
      </c>
      <c r="B466" s="1" t="n">
        <v>45194</v>
      </c>
      <c r="C466" s="1" t="n">
        <v>46194</v>
      </c>
      <c r="D466" t="inlineStr">
        <is>
          <t>SKÅNE LÄN</t>
        </is>
      </c>
      <c r="E466" t="inlineStr">
        <is>
          <t>OSBY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18294-2024</t>
        </is>
      </c>
      <c r="B467" s="1" t="n">
        <v>45422</v>
      </c>
      <c r="C467" s="1" t="n">
        <v>46194</v>
      </c>
      <c r="D467" t="inlineStr">
        <is>
          <t>SKÅNE LÄN</t>
        </is>
      </c>
      <c r="E467" t="inlineStr">
        <is>
          <t>OSBY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57782-2024</t>
        </is>
      </c>
      <c r="B468" s="1" t="n">
        <v>45631</v>
      </c>
      <c r="C468" s="1" t="n">
        <v>46194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30211-2023</t>
        </is>
      </c>
      <c r="B469" s="1" t="n">
        <v>45110</v>
      </c>
      <c r="C469" s="1" t="n">
        <v>46194</v>
      </c>
      <c r="D469" t="inlineStr">
        <is>
          <t>SKÅNE LÄN</t>
        </is>
      </c>
      <c r="E469" t="inlineStr">
        <is>
          <t>OSBY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</v>
      </c>
      <c r="C470" s="1" t="n">
        <v>46194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</v>
      </c>
      <c r="C471" s="1" t="n">
        <v>46194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1051-2024</t>
        </is>
      </c>
      <c r="B472" s="1" t="n">
        <v>45301</v>
      </c>
      <c r="C472" s="1" t="n">
        <v>46194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53774-2023</t>
        </is>
      </c>
      <c r="B473" s="1" t="n">
        <v>45231</v>
      </c>
      <c r="C473" s="1" t="n">
        <v>46194</v>
      </c>
      <c r="D473" t="inlineStr">
        <is>
          <t>SKÅNE LÄN</t>
        </is>
      </c>
      <c r="E473" t="inlineStr">
        <is>
          <t>OSBY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33822-2022</t>
        </is>
      </c>
      <c r="B474" s="1" t="n">
        <v>44790</v>
      </c>
      <c r="C474" s="1" t="n">
        <v>46194</v>
      </c>
      <c r="D474" t="inlineStr">
        <is>
          <t>SKÅNE LÄN</t>
        </is>
      </c>
      <c r="E474" t="inlineStr">
        <is>
          <t>OSBY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2635-2024</t>
        </is>
      </c>
      <c r="B475" s="1" t="n">
        <v>45314</v>
      </c>
      <c r="C475" s="1" t="n">
        <v>46194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35986-2022</t>
        </is>
      </c>
      <c r="B476" s="1" t="n">
        <v>44802</v>
      </c>
      <c r="C476" s="1" t="n">
        <v>46194</v>
      </c>
      <c r="D476" t="inlineStr">
        <is>
          <t>SKÅNE LÄN</t>
        </is>
      </c>
      <c r="E476" t="inlineStr">
        <is>
          <t>OSBY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61602-2023</t>
        </is>
      </c>
      <c r="B477" s="1" t="n">
        <v>45265</v>
      </c>
      <c r="C477" s="1" t="n">
        <v>46194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55294-2023</t>
        </is>
      </c>
      <c r="B478" s="1" t="n">
        <v>45237</v>
      </c>
      <c r="C478" s="1" t="n">
        <v>46194</v>
      </c>
      <c r="D478" t="inlineStr">
        <is>
          <t>SKÅNE LÄN</t>
        </is>
      </c>
      <c r="E478" t="inlineStr">
        <is>
          <t>OSBY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50380-2023</t>
        </is>
      </c>
      <c r="B479" s="1" t="n">
        <v>45216</v>
      </c>
      <c r="C479" s="1" t="n">
        <v>46194</v>
      </c>
      <c r="D479" t="inlineStr">
        <is>
          <t>SKÅNE LÄN</t>
        </is>
      </c>
      <c r="E479" t="inlineStr">
        <is>
          <t>OSBY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40388-2024</t>
        </is>
      </c>
      <c r="B480" s="1" t="n">
        <v>45555</v>
      </c>
      <c r="C480" s="1" t="n">
        <v>46194</v>
      </c>
      <c r="D480" t="inlineStr">
        <is>
          <t>SKÅNE LÄN</t>
        </is>
      </c>
      <c r="E480" t="inlineStr">
        <is>
          <t>OSBY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9828-2026</t>
        </is>
      </c>
      <c r="B481" s="1" t="n">
        <v>46071</v>
      </c>
      <c r="C481" s="1" t="n">
        <v>46194</v>
      </c>
      <c r="D481" t="inlineStr">
        <is>
          <t>SKÅNE LÄN</t>
        </is>
      </c>
      <c r="E481" t="inlineStr">
        <is>
          <t>OSBY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52089-2022</t>
        </is>
      </c>
      <c r="B482" s="1" t="n">
        <v>44873</v>
      </c>
      <c r="C482" s="1" t="n">
        <v>46194</v>
      </c>
      <c r="D482" t="inlineStr">
        <is>
          <t>SKÅNE LÄN</t>
        </is>
      </c>
      <c r="E482" t="inlineStr">
        <is>
          <t>OSBY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12680-2025</t>
        </is>
      </c>
      <c r="B483" s="1" t="n">
        <v>45733</v>
      </c>
      <c r="C483" s="1" t="n">
        <v>46194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6968-2022</t>
        </is>
      </c>
      <c r="B484" s="1" t="n">
        <v>44603</v>
      </c>
      <c r="C484" s="1" t="n">
        <v>46194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35715-2023</t>
        </is>
      </c>
      <c r="B485" s="1" t="n">
        <v>45147</v>
      </c>
      <c r="C485" s="1" t="n">
        <v>46194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50366-2021</t>
        </is>
      </c>
      <c r="B486" s="1" t="n">
        <v>44455</v>
      </c>
      <c r="C486" s="1" t="n">
        <v>46194</v>
      </c>
      <c r="D486" t="inlineStr">
        <is>
          <t>SKÅNE LÄN</t>
        </is>
      </c>
      <c r="E486" t="inlineStr">
        <is>
          <t>OSBY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10191-2026</t>
        </is>
      </c>
      <c r="B487" s="1" t="n">
        <v>46076</v>
      </c>
      <c r="C487" s="1" t="n">
        <v>46194</v>
      </c>
      <c r="D487" t="inlineStr">
        <is>
          <t>SKÅNE LÄN</t>
        </is>
      </c>
      <c r="E487" t="inlineStr">
        <is>
          <t>OSBY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10237-2026</t>
        </is>
      </c>
      <c r="B488" s="1" t="n">
        <v>46076</v>
      </c>
      <c r="C488" s="1" t="n">
        <v>46194</v>
      </c>
      <c r="D488" t="inlineStr">
        <is>
          <t>SKÅNE LÄN</t>
        </is>
      </c>
      <c r="E488" t="inlineStr">
        <is>
          <t>OSBY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53003-2024</t>
        </is>
      </c>
      <c r="B489" s="1" t="n">
        <v>45610</v>
      </c>
      <c r="C489" s="1" t="n">
        <v>46194</v>
      </c>
      <c r="D489" t="inlineStr">
        <is>
          <t>SKÅNE LÄN</t>
        </is>
      </c>
      <c r="E489" t="inlineStr">
        <is>
          <t>OSBY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9670-2023</t>
        </is>
      </c>
      <c r="B490" s="1" t="n">
        <v>44978</v>
      </c>
      <c r="C490" s="1" t="n">
        <v>46194</v>
      </c>
      <c r="D490" t="inlineStr">
        <is>
          <t>SKÅNE LÄN</t>
        </is>
      </c>
      <c r="E490" t="inlineStr">
        <is>
          <t>OSBY</t>
        </is>
      </c>
      <c r="F490" t="inlineStr">
        <is>
          <t>Naturvårdsverket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10974-2026</t>
        </is>
      </c>
      <c r="B491" s="1" t="n">
        <v>46079</v>
      </c>
      <c r="C491" s="1" t="n">
        <v>46194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11040-2026</t>
        </is>
      </c>
      <c r="B492" s="1" t="n">
        <v>46079</v>
      </c>
      <c r="C492" s="1" t="n">
        <v>46194</v>
      </c>
      <c r="D492" t="inlineStr">
        <is>
          <t>SKÅNE LÄN</t>
        </is>
      </c>
      <c r="E492" t="inlineStr">
        <is>
          <t>OSBY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61882-2024</t>
        </is>
      </c>
      <c r="B493" s="1" t="n">
        <v>45652</v>
      </c>
      <c r="C493" s="1" t="n">
        <v>46194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60600-2022</t>
        </is>
      </c>
      <c r="B494" s="1" t="n">
        <v>44911</v>
      </c>
      <c r="C494" s="1" t="n">
        <v>46194</v>
      </c>
      <c r="D494" t="inlineStr">
        <is>
          <t>SKÅNE LÄN</t>
        </is>
      </c>
      <c r="E494" t="inlineStr">
        <is>
          <t>OSBY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6874-2024</t>
        </is>
      </c>
      <c r="B495" s="1" t="n">
        <v>45342</v>
      </c>
      <c r="C495" s="1" t="n">
        <v>46194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12362-2026</t>
        </is>
      </c>
      <c r="B496" s="1" t="n">
        <v>46089</v>
      </c>
      <c r="C496" s="1" t="n">
        <v>46194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3361-2022</t>
        </is>
      </c>
      <c r="B497" s="1" t="n">
        <v>44585</v>
      </c>
      <c r="C497" s="1" t="n">
        <v>46194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12363-2026</t>
        </is>
      </c>
      <c r="B498" s="1" t="n">
        <v>46089</v>
      </c>
      <c r="C498" s="1" t="n">
        <v>46194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41322-2021</t>
        </is>
      </c>
      <c r="B499" s="1" t="n">
        <v>44424</v>
      </c>
      <c r="C499" s="1" t="n">
        <v>46194</v>
      </c>
      <c r="D499" t="inlineStr">
        <is>
          <t>SKÅNE LÄN</t>
        </is>
      </c>
      <c r="E499" t="inlineStr">
        <is>
          <t>OSBY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2621-2022</t>
        </is>
      </c>
      <c r="B500" s="1" t="n">
        <v>44580</v>
      </c>
      <c r="C500" s="1" t="n">
        <v>46194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13268-2026</t>
        </is>
      </c>
      <c r="B501" s="1" t="n">
        <v>46093</v>
      </c>
      <c r="C501" s="1" t="n">
        <v>46194</v>
      </c>
      <c r="D501" t="inlineStr">
        <is>
          <t>SKÅNE LÄN</t>
        </is>
      </c>
      <c r="E501" t="inlineStr">
        <is>
          <t>OSBY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20636-2024</t>
        </is>
      </c>
      <c r="B502" s="1" t="n">
        <v>45436</v>
      </c>
      <c r="C502" s="1" t="n">
        <v>46194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61648-2022</t>
        </is>
      </c>
      <c r="B503" s="1" t="n">
        <v>44916</v>
      </c>
      <c r="C503" s="1" t="n">
        <v>46194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3875-2023</t>
        </is>
      </c>
      <c r="B504" s="1" t="n">
        <v>44951</v>
      </c>
      <c r="C504" s="1" t="n">
        <v>46194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17228-2024</t>
        </is>
      </c>
      <c r="B505" s="1" t="n">
        <v>45414</v>
      </c>
      <c r="C505" s="1" t="n">
        <v>46194</v>
      </c>
      <c r="D505" t="inlineStr">
        <is>
          <t>SKÅNE LÄN</t>
        </is>
      </c>
      <c r="E505" t="inlineStr">
        <is>
          <t>OSBY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3874-2023</t>
        </is>
      </c>
      <c r="B506" s="1" t="n">
        <v>44951</v>
      </c>
      <c r="C506" s="1" t="n">
        <v>46194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27378-2022</t>
        </is>
      </c>
      <c r="B507" s="1" t="n">
        <v>44742</v>
      </c>
      <c r="C507" s="1" t="n">
        <v>46194</v>
      </c>
      <c r="D507" t="inlineStr">
        <is>
          <t>SKÅNE LÄN</t>
        </is>
      </c>
      <c r="E507" t="inlineStr">
        <is>
          <t>OSBY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45650-2022</t>
        </is>
      </c>
      <c r="B508" s="1" t="n">
        <v>44845</v>
      </c>
      <c r="C508" s="1" t="n">
        <v>46194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14563-2026</t>
        </is>
      </c>
      <c r="B509" s="1" t="n">
        <v>46100</v>
      </c>
      <c r="C509" s="1" t="n">
        <v>46194</v>
      </c>
      <c r="D509" t="inlineStr">
        <is>
          <t>SKÅNE LÄN</t>
        </is>
      </c>
      <c r="E509" t="inlineStr">
        <is>
          <t>OSBY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14564-2026</t>
        </is>
      </c>
      <c r="B510" s="1" t="n">
        <v>46100</v>
      </c>
      <c r="C510" s="1" t="n">
        <v>46194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15837-2026</t>
        </is>
      </c>
      <c r="B511" s="1" t="n">
        <v>46107</v>
      </c>
      <c r="C511" s="1" t="n">
        <v>46194</v>
      </c>
      <c r="D511" t="inlineStr">
        <is>
          <t>SKÅNE LÄN</t>
        </is>
      </c>
      <c r="E511" t="inlineStr">
        <is>
          <t>OSBY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22043-2026</t>
        </is>
      </c>
      <c r="B512" s="1" t="n">
        <v>46153</v>
      </c>
      <c r="C512" s="1" t="n">
        <v>46194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21991-2026</t>
        </is>
      </c>
      <c r="B513" s="1" t="n">
        <v>46153</v>
      </c>
      <c r="C513" s="1" t="n">
        <v>46194</v>
      </c>
      <c r="D513" t="inlineStr">
        <is>
          <t>SKÅNE LÄN</t>
        </is>
      </c>
      <c r="E513" t="inlineStr">
        <is>
          <t>OSBY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21992-2026</t>
        </is>
      </c>
      <c r="B514" s="1" t="n">
        <v>46153</v>
      </c>
      <c r="C514" s="1" t="n">
        <v>46194</v>
      </c>
      <c r="D514" t="inlineStr">
        <is>
          <t>SKÅNE LÄN</t>
        </is>
      </c>
      <c r="E514" t="inlineStr">
        <is>
          <t>OSBY</t>
        </is>
      </c>
      <c r="F514" t="inlineStr">
        <is>
          <t>Kyrkan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22061-2026</t>
        </is>
      </c>
      <c r="B515" s="1" t="n">
        <v>46153</v>
      </c>
      <c r="C515" s="1" t="n">
        <v>46194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22071-2026</t>
        </is>
      </c>
      <c r="B516" s="1" t="n">
        <v>46153</v>
      </c>
      <c r="C516" s="1" t="n">
        <v>46194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22231-2026</t>
        </is>
      </c>
      <c r="B517" s="1" t="n">
        <v>46153</v>
      </c>
      <c r="C517" s="1" t="n">
        <v>46194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22578-2026</t>
        </is>
      </c>
      <c r="B518" s="1" t="n">
        <v>46155</v>
      </c>
      <c r="C518" s="1" t="n">
        <v>46194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22670-2026</t>
        </is>
      </c>
      <c r="B519" s="1" t="n">
        <v>46155</v>
      </c>
      <c r="C519" s="1" t="n">
        <v>46194</v>
      </c>
      <c r="D519" t="inlineStr">
        <is>
          <t>SKÅNE LÄN</t>
        </is>
      </c>
      <c r="E519" t="inlineStr">
        <is>
          <t>OSBY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18406-2026</t>
        </is>
      </c>
      <c r="B520" s="1" t="n">
        <v>46126</v>
      </c>
      <c r="C520" s="1" t="n">
        <v>46194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24550-2026</t>
        </is>
      </c>
      <c r="B521" s="1" t="n">
        <v>46170</v>
      </c>
      <c r="C521" s="1" t="n">
        <v>46194</v>
      </c>
      <c r="D521" t="inlineStr">
        <is>
          <t>SKÅNE LÄN</t>
        </is>
      </c>
      <c r="E521" t="inlineStr">
        <is>
          <t>OSBY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24538-2026</t>
        </is>
      </c>
      <c r="B522" s="1" t="n">
        <v>46170</v>
      </c>
      <c r="C522" s="1" t="n">
        <v>46194</v>
      </c>
      <c r="D522" t="inlineStr">
        <is>
          <t>SKÅNE LÄN</t>
        </is>
      </c>
      <c r="E522" t="inlineStr">
        <is>
          <t>OSBY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19344-2026</t>
        </is>
      </c>
      <c r="B523" s="1" t="n">
        <v>46133</v>
      </c>
      <c r="C523" s="1" t="n">
        <v>46194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19343-2026</t>
        </is>
      </c>
      <c r="B524" s="1" t="n">
        <v>46133</v>
      </c>
      <c r="C524" s="1" t="n">
        <v>46194</v>
      </c>
      <c r="D524" t="inlineStr">
        <is>
          <t>SKÅNE LÄN</t>
        </is>
      </c>
      <c r="E524" t="inlineStr">
        <is>
          <t>OSBY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19336-2026</t>
        </is>
      </c>
      <c r="B525" s="1" t="n">
        <v>46133</v>
      </c>
      <c r="C525" s="1" t="n">
        <v>46194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25397-2026</t>
        </is>
      </c>
      <c r="B526" s="1" t="n">
        <v>46176</v>
      </c>
      <c r="C526" s="1" t="n">
        <v>46194</v>
      </c>
      <c r="D526" t="inlineStr">
        <is>
          <t>SKÅNE LÄN</t>
        </is>
      </c>
      <c r="E526" t="inlineStr">
        <is>
          <t>OSBY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25392-2026</t>
        </is>
      </c>
      <c r="B527" s="1" t="n">
        <v>46176</v>
      </c>
      <c r="C527" s="1" t="n">
        <v>46194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42793-2025</t>
        </is>
      </c>
      <c r="B528" s="1" t="n">
        <v>45908</v>
      </c>
      <c r="C528" s="1" t="n">
        <v>46194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25677-2026</t>
        </is>
      </c>
      <c r="B529" s="1" t="n">
        <v>46178</v>
      </c>
      <c r="C529" s="1" t="n">
        <v>46194</v>
      </c>
      <c r="D529" t="inlineStr">
        <is>
          <t>SKÅNE LÄN</t>
        </is>
      </c>
      <c r="E529" t="inlineStr">
        <is>
          <t>OSBY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22064-2025</t>
        </is>
      </c>
      <c r="B530" s="1" t="n">
        <v>45785</v>
      </c>
      <c r="C530" s="1" t="n">
        <v>46194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59245-2025</t>
        </is>
      </c>
      <c r="B531" s="1" t="n">
        <v>45988</v>
      </c>
      <c r="C531" s="1" t="n">
        <v>46194</v>
      </c>
      <c r="D531" t="inlineStr">
        <is>
          <t>SKÅNE LÄN</t>
        </is>
      </c>
      <c r="E531" t="inlineStr">
        <is>
          <t>OSBY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1068-2025</t>
        </is>
      </c>
      <c r="B532" s="1" t="n">
        <v>45666</v>
      </c>
      <c r="C532" s="1" t="n">
        <v>46194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18333-2025</t>
        </is>
      </c>
      <c r="B533" s="1" t="n">
        <v>45762</v>
      </c>
      <c r="C533" s="1" t="n">
        <v>46194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46194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9840-2022</t>
        </is>
      </c>
      <c r="B535" s="1" t="n">
        <v>44620</v>
      </c>
      <c r="C535" s="1" t="n">
        <v>46194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9840-2022</t>
        </is>
      </c>
      <c r="B536" s="1" t="n">
        <v>44620</v>
      </c>
      <c r="C536" s="1" t="n">
        <v>46194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20586-2026</t>
        </is>
      </c>
      <c r="B537" s="1" t="n">
        <v>46140</v>
      </c>
      <c r="C537" s="1" t="n">
        <v>46194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36979-2024</t>
        </is>
      </c>
      <c r="B538" s="1" t="n">
        <v>45539</v>
      </c>
      <c r="C538" s="1" t="n">
        <v>46194</v>
      </c>
      <c r="D538" t="inlineStr">
        <is>
          <t>SKÅNE LÄN</t>
        </is>
      </c>
      <c r="E538" t="inlineStr">
        <is>
          <t>OSBY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25934-2026</t>
        </is>
      </c>
      <c r="B539" s="1" t="n">
        <v>46180</v>
      </c>
      <c r="C539" s="1" t="n">
        <v>46194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25935-2026</t>
        </is>
      </c>
      <c r="B540" s="1" t="n">
        <v>46180</v>
      </c>
      <c r="C540" s="1" t="n">
        <v>46194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36952-2023</t>
        </is>
      </c>
      <c r="B541" s="1" t="n">
        <v>45154</v>
      </c>
      <c r="C541" s="1" t="n">
        <v>46194</v>
      </c>
      <c r="D541" t="inlineStr">
        <is>
          <t>SKÅNE LÄN</t>
        </is>
      </c>
      <c r="E541" t="inlineStr">
        <is>
          <t>OSBY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52196-2021</t>
        </is>
      </c>
      <c r="B542" s="1" t="n">
        <v>44463</v>
      </c>
      <c r="C542" s="1" t="n">
        <v>46194</v>
      </c>
      <c r="D542" t="inlineStr">
        <is>
          <t>SKÅNE LÄN</t>
        </is>
      </c>
      <c r="E542" t="inlineStr">
        <is>
          <t>OSBY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25936-2026</t>
        </is>
      </c>
      <c r="B543" s="1" t="n">
        <v>46180</v>
      </c>
      <c r="C543" s="1" t="n">
        <v>46194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45191-2024</t>
        </is>
      </c>
      <c r="B544" s="1" t="n">
        <v>45575</v>
      </c>
      <c r="C544" s="1" t="n">
        <v>46194</v>
      </c>
      <c r="D544" t="inlineStr">
        <is>
          <t>SKÅNE LÄN</t>
        </is>
      </c>
      <c r="E544" t="inlineStr">
        <is>
          <t>OSBY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2026-06-21T00:43:37Z</dcterms:created>
  <dcterms:modified xmlns:dcterms="http://purl.org/dc/terms/" xmlns:xsi="http://www.w3.org/2001/XMLSchema-instance" xsi:type="dcterms:W3CDTF">2026-06-21T00:43:37Z</dcterms:modified>
</cp:coreProperties>
</file>