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46306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46306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46306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46306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46306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46306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46306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46306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46306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46306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46306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46306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46306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8989-2024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45356</v>
      </c>
      <c r="E15" s="1" t="n">
        <v>46306</v>
      </c>
      <c r="F15" t="inlineStr">
        <is>
          <t>SKÅNE LÄN</t>
        </is>
      </c>
      <c r="G15" t="inlineStr">
        <is>
          <t>OSBY</t>
        </is>
      </c>
      <c r="I15" t="n">
        <v>4.2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Kortskaftad parasitspik
Rostfläck</t>
        </is>
      </c>
      <c r="W15">
        <f>HYPERLINK("https://klasma.github.io/Logging_1273/artfynd/A 8989-2024 artfynd.xlsx", "A 8989-2024")</f>
        <v/>
      </c>
      <c r="X15">
        <f>HYPERLINK("https://klasma.github.io/Logging_1273/kartor/A 8989-2024 karta.png", "A 8989-2024")</f>
        <v/>
      </c>
      <c r="Y15">
        <f>HYPERLINK("https://klasma.github.io/Logging_1273/kartor_geotiff/A 8989-2024 georefererad karta.tif", "A 8989-2024")</f>
        <v/>
      </c>
      <c r="AA15">
        <f>HYPERLINK("https://klasma.github.io/Logging_1273/klagomål/A 8989-2024 FSC-klagomål.docx", "A 8989-2024")</f>
        <v/>
      </c>
      <c r="AB15">
        <f>HYPERLINK("https://klasma.github.io/Logging_1273/klagomålsmail/A 8989-2024 FSC-klagomål mail.docx", "A 8989-2024")</f>
        <v/>
      </c>
      <c r="AC15">
        <f>HYPERLINK("https://klasma.github.io/Logging_1273/tillsyn/A 8989-2024 tillsynsbegäran.docx", "A 8989-2024")</f>
        <v/>
      </c>
      <c r="AD15">
        <f>HYPERLINK("https://klasma.github.io/Logging_1273/tillsynsmail/A 8989-2024 tillsynsbegäran mail.docx", "A 8989-2024")</f>
        <v/>
      </c>
    </row>
    <row r="16" ht="15" customHeight="1">
      <c r="A16" t="inlineStr">
        <is>
          <t>A 23811-2023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46306</v>
      </c>
      <c r="F16" t="inlineStr">
        <is>
          <t>SKÅNE LÄN</t>
        </is>
      </c>
      <c r="G16" t="inlineStr">
        <is>
          <t>OSBY</t>
        </is>
      </c>
      <c r="I16" t="n">
        <v>1.7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Sjötåtel
Borsttåg</t>
        </is>
      </c>
      <c r="W16">
        <f>HYPERLINK("https://klasma.github.io/Logging_1273/artfynd/A 23811-2023 artfynd.xlsx", "A 23811-2023")</f>
        <v/>
      </c>
      <c r="X16">
        <f>HYPERLINK("https://klasma.github.io/Logging_1273/kartor/A 23811-2023 karta.png", "A 23811-2023")</f>
        <v/>
      </c>
      <c r="Y16">
        <f>HYPERLINK("https://klasma.github.io/Logging_1273/kartor_geotiff/A 23811-2023 georefererad karta.tif", "A 23811-2023")</f>
        <v/>
      </c>
      <c r="AA16">
        <f>HYPERLINK("https://klasma.github.io/Logging_1273/klagomål/A 23811-2023 FSC-klagomål.docx", "A 23811-2023")</f>
        <v/>
      </c>
      <c r="AB16">
        <f>HYPERLINK("https://klasma.github.io/Logging_1273/klagomålsmail/A 23811-2023 FSC-klagomål mail.docx", "A 23811-2023")</f>
        <v/>
      </c>
      <c r="AC16">
        <f>HYPERLINK("https://klasma.github.io/Logging_1273/tillsyn/A 23811-2023 tillsynsbegäran.docx", "A 23811-2023")</f>
        <v/>
      </c>
      <c r="AD16">
        <f>HYPERLINK("https://klasma.github.io/Logging_1273/tillsynsmail/A 23811-2023 tillsynsbegäran mail.docx", "A 23811-2023")</f>
        <v/>
      </c>
    </row>
    <row r="17" ht="15" customHeight="1">
      <c r="A17" t="inlineStr">
        <is>
          <t>A 51859-2024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45607</v>
      </c>
      <c r="E17" s="1" t="n">
        <v>46306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2.8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Gröngöling</t>
        </is>
      </c>
      <c r="W17">
        <f>HYPERLINK("https://klasma.github.io/Logging_1273/artfynd/A 51859-2024 artfynd.xlsx", "A 51859-2024")</f>
        <v/>
      </c>
      <c r="X17">
        <f>HYPERLINK("https://klasma.github.io/Logging_1273/kartor/A 51859-2024 karta.png", "A 51859-2024")</f>
        <v/>
      </c>
      <c r="Y17">
        <f>HYPERLINK("https://klasma.github.io/Logging_1273/kartor_geotiff/A 51859-2024 georefererad karta.tif", "A 51859-2024")</f>
        <v/>
      </c>
      <c r="AA17">
        <f>HYPERLINK("https://klasma.github.io/Logging_1273/klagomål/A 51859-2024 FSC-klagomål.docx", "A 51859-2024")</f>
        <v/>
      </c>
      <c r="AB17">
        <f>HYPERLINK("https://klasma.github.io/Logging_1273/klagomålsmail/A 51859-2024 FSC-klagomål mail.docx", "A 51859-2024")</f>
        <v/>
      </c>
      <c r="AC17">
        <f>HYPERLINK("https://klasma.github.io/Logging_1273/tillsyn/A 51859-2024 tillsynsbegäran.docx", "A 51859-2024")</f>
        <v/>
      </c>
      <c r="AD17">
        <f>HYPERLINK("https://klasma.github.io/Logging_1273/tillsynsmail/A 51859-2024 tillsynsbegäran mail.docx", "A 51859-2024")</f>
        <v/>
      </c>
      <c r="AE17">
        <f>HYPERLINK("https://klasma.github.io/Logging_1273/fåglar/A 51859-2024 prioriterade fågelarter.docx", "A 51859-2024")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46306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46306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44851-2025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46306</v>
      </c>
      <c r="F20" t="inlineStr">
        <is>
          <t>SKÅNE LÄN</t>
        </is>
      </c>
      <c r="G20" t="inlineStr">
        <is>
          <t>OSBY</t>
        </is>
      </c>
      <c r="I20" t="n">
        <v>5.7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Talltita
Kungsfågel</t>
        </is>
      </c>
      <c r="W20">
        <f>HYPERLINK("https://klasma.github.io/Logging_1273/artfynd/A 44851-2025 artfynd.xlsx", "A 44851-2025")</f>
        <v/>
      </c>
      <c r="X20">
        <f>HYPERLINK("https://klasma.github.io/Logging_1273/kartor/A 44851-2025 karta.png", "A 44851-2025")</f>
        <v/>
      </c>
      <c r="Y20">
        <f>HYPERLINK("https://klasma.github.io/Logging_1273/kartor_geotiff/A 44851-2025 georefererad karta.tif", "A 44851-2025")</f>
        <v/>
      </c>
      <c r="AA20">
        <f>HYPERLINK("https://klasma.github.io/Logging_1273/klagomål/A 44851-2025 FSC-klagomål.docx", "A 44851-2025")</f>
        <v/>
      </c>
      <c r="AB20">
        <f>HYPERLINK("https://klasma.github.io/Logging_1273/klagomålsmail/A 44851-2025 FSC-klagomål mail.docx", "A 44851-2025")</f>
        <v/>
      </c>
      <c r="AC20">
        <f>HYPERLINK("https://klasma.github.io/Logging_1273/tillsyn/A 44851-2025 tillsynsbegäran.docx", "A 44851-2025")</f>
        <v/>
      </c>
      <c r="AD20">
        <f>HYPERLINK("https://klasma.github.io/Logging_1273/tillsynsmail/A 44851-2025 tillsynsbegäran mail.docx", "A 44851-2025")</f>
        <v/>
      </c>
      <c r="AE20">
        <f>HYPERLINK("https://klasma.github.io/Logging_1273/fåglar/A 44851-2025 prioriterade fågelarter.docx", "A 44851-2025")</f>
        <v/>
      </c>
    </row>
    <row r="21" ht="15" customHeight="1">
      <c r="A21" t="inlineStr">
        <is>
          <t>A 22036-2026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46306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5.4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Entita
Spillkråka</t>
        </is>
      </c>
      <c r="W21">
        <f>HYPERLINK("https://klasma.github.io/Logging_1273/artfynd/A 22036-2026 artfynd.xlsx", "A 22036-2026")</f>
        <v/>
      </c>
      <c r="X21">
        <f>HYPERLINK("https://klasma.github.io/Logging_1273/kartor/A 22036-2026 karta.png", "A 22036-2026")</f>
        <v/>
      </c>
      <c r="Y21">
        <f>HYPERLINK("https://klasma.github.io/Logging_1273/kartor_geotiff/A 22036-2026 georefererad karta.tif", "A 22036-2026")</f>
        <v/>
      </c>
      <c r="AA21">
        <f>HYPERLINK("https://klasma.github.io/Logging_1273/klagomål/A 22036-2026 FSC-klagomål.docx", "A 22036-2026")</f>
        <v/>
      </c>
      <c r="AB21">
        <f>HYPERLINK("https://klasma.github.io/Logging_1273/klagomålsmail/A 22036-2026 FSC-klagomål mail.docx", "A 22036-2026")</f>
        <v/>
      </c>
      <c r="AC21">
        <f>HYPERLINK("https://klasma.github.io/Logging_1273/tillsyn/A 22036-2026 tillsynsbegäran.docx", "A 22036-2026")</f>
        <v/>
      </c>
      <c r="AD21">
        <f>HYPERLINK("https://klasma.github.io/Logging_1273/tillsynsmail/A 22036-2026 tillsynsbegäran mail.docx", "A 22036-2026")</f>
        <v/>
      </c>
      <c r="AE21">
        <f>HYPERLINK("https://klasma.github.io/Logging_1273/fåglar/A 22036-2026 prioriterade fågelarter.docx", "A 22036-2026")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46306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46306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46306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46306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46306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46306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59677-2023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45255</v>
      </c>
      <c r="E28" s="1" t="n">
        <v>46306</v>
      </c>
      <c r="F28" t="inlineStr">
        <is>
          <t>SKÅNE LÄN</t>
        </is>
      </c>
      <c r="G28" t="inlineStr">
        <is>
          <t>OSBY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HYPERLINK("https://klasma.github.io/Logging_1273/artfynd/A 59677-2023 artfynd.xlsx", "A 59677-2023")</f>
        <v/>
      </c>
      <c r="X28">
        <f>HYPERLINK("https://klasma.github.io/Logging_1273/kartor/A 59677-2023 karta.png", "A 59677-2023")</f>
        <v/>
      </c>
      <c r="Y28">
        <f>HYPERLINK("https://klasma.github.io/Logging_1273/kartor_geotiff/A 59677-2023 georefererad karta.tif", "A 59677-2023")</f>
        <v/>
      </c>
      <c r="AA28">
        <f>HYPERLINK("https://klasma.github.io/Logging_1273/klagomål/A 59677-2023 FSC-klagomål.docx", "A 59677-2023")</f>
        <v/>
      </c>
      <c r="AB28">
        <f>HYPERLINK("https://klasma.github.io/Logging_1273/klagomålsmail/A 59677-2023 FSC-klagomål mail.docx", "A 59677-2023")</f>
        <v/>
      </c>
      <c r="AC28">
        <f>HYPERLINK("https://klasma.github.io/Logging_1273/tillsyn/A 59677-2023 tillsynsbegäran.docx", "A 59677-2023")</f>
        <v/>
      </c>
      <c r="AD28">
        <f>HYPERLINK("https://klasma.github.io/Logging_1273/tillsynsmail/A 59677-2023 tillsynsbegäran mail.docx", "A 59677-2023")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46306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33491-2022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44788</v>
      </c>
      <c r="E30" s="1" t="n">
        <v>46306</v>
      </c>
      <c r="F30" t="inlineStr">
        <is>
          <t>SKÅNE LÄN</t>
        </is>
      </c>
      <c r="G30" t="inlineStr">
        <is>
          <t>OSBY</t>
        </is>
      </c>
      <c r="I30" t="n">
        <v>11.8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1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Pimpinellros</t>
        </is>
      </c>
      <c r="W30">
        <f>HYPERLINK("https://klasma.github.io/Logging_1273/artfynd/A 33491-2022 artfynd.xlsx", "A 33491-2022")</f>
        <v/>
      </c>
      <c r="X30">
        <f>HYPERLINK("https://klasma.github.io/Logging_1273/kartor/A 33491-2022 karta.png", "A 33491-2022")</f>
        <v/>
      </c>
      <c r="Y30">
        <f>HYPERLINK("https://klasma.github.io/Logging_1273/kartor_geotiff/A 33491-2022 georefererad karta.tif", "A 33491-2022")</f>
        <v/>
      </c>
      <c r="AA30">
        <f>HYPERLINK("https://klasma.github.io/Logging_1273/klagomål/A 33491-2022 FSC-klagomål.docx", "A 33491-2022")</f>
        <v/>
      </c>
      <c r="AB30">
        <f>HYPERLINK("https://klasma.github.io/Logging_1273/klagomålsmail/A 33491-2022 FSC-klagomål mail.docx", "A 33491-2022")</f>
        <v/>
      </c>
      <c r="AC30">
        <f>HYPERLINK("https://klasma.github.io/Logging_1273/tillsyn/A 33491-2022 tillsynsbegäran.docx", "A 33491-2022")</f>
        <v/>
      </c>
      <c r="AD30">
        <f>HYPERLINK("https://klasma.github.io/Logging_1273/tillsynsmail/A 33491-2022 tillsynsbegäran mail.docx", "A 33491-2022")</f>
        <v/>
      </c>
    </row>
    <row r="31" ht="15" customHeight="1">
      <c r="A31" t="inlineStr">
        <is>
          <t>A 33064-2023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45126</v>
      </c>
      <c r="E31" s="1" t="n">
        <v>46306</v>
      </c>
      <c r="F31" t="inlineStr">
        <is>
          <t>SKÅNE LÄN</t>
        </is>
      </c>
      <c r="G31" t="inlineStr">
        <is>
          <t>OSBY</t>
        </is>
      </c>
      <c r="I31" t="n">
        <v>0.8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HYPERLINK("https://klasma.github.io/Logging_1273/artfynd/A 33064-2023 artfynd.xlsx", "A 33064-2023")</f>
        <v/>
      </c>
      <c r="X31">
        <f>HYPERLINK("https://klasma.github.io/Logging_1273/kartor/A 33064-2023 karta.png", "A 33064-2023")</f>
        <v/>
      </c>
      <c r="Y31">
        <f>HYPERLINK("https://klasma.github.io/Logging_1273/kartor_geotiff/A 33064-2023 georefererad karta.tif", "A 33064-2023")</f>
        <v/>
      </c>
      <c r="Z31">
        <f>HYPERLINK("https://klasma.github.io/Logging_1273/knärot/A 33064-2023 karta knärot.png", "A 33064-2023")</f>
        <v/>
      </c>
      <c r="AA31">
        <f>HYPERLINK("https://klasma.github.io/Logging_1273/klagomål/A 33064-2023 FSC-klagomål.docx", "A 33064-2023")</f>
        <v/>
      </c>
      <c r="AB31">
        <f>HYPERLINK("https://klasma.github.io/Logging_1273/klagomålsmail/A 33064-2023 FSC-klagomål mail.docx", "A 33064-2023")</f>
        <v/>
      </c>
      <c r="AC31">
        <f>HYPERLINK("https://klasma.github.io/Logging_1273/tillsyn/A 33064-2023 tillsynsbegäran.docx", "A 33064-2023")</f>
        <v/>
      </c>
      <c r="AD31">
        <f>HYPERLINK("https://klasma.github.io/Logging_1273/tillsynsmail/A 33064-2023 tillsynsbegäran mail.docx", "A 33064-2023")</f>
        <v/>
      </c>
    </row>
    <row r="32" ht="15" customHeight="1">
      <c r="A32" t="inlineStr">
        <is>
          <t>A 16837-2023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45033</v>
      </c>
      <c r="E32" s="1" t="n">
        <v>46306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HYPERLINK("https://klasma.github.io/Logging_1273/artfynd/A 16837-2023 artfynd.xlsx", "A 16837-2023")</f>
        <v/>
      </c>
      <c r="X32">
        <f>HYPERLINK("https://klasma.github.io/Logging_1273/kartor/A 16837-2023 karta.png", "A 16837-2023")</f>
        <v/>
      </c>
      <c r="Y32">
        <f>HYPERLINK("https://klasma.github.io/Logging_1273/kartor_geotiff/A 16837-2023 georefererad karta.tif", "A 16837-2023")</f>
        <v/>
      </c>
      <c r="AA32">
        <f>HYPERLINK("https://klasma.github.io/Logging_1273/klagomål/A 16837-2023 FSC-klagomål.docx", "A 16837-2023")</f>
        <v/>
      </c>
      <c r="AB32">
        <f>HYPERLINK("https://klasma.github.io/Logging_1273/klagomålsmail/A 16837-2023 FSC-klagomål mail.docx", "A 16837-2023")</f>
        <v/>
      </c>
      <c r="AC32">
        <f>HYPERLINK("https://klasma.github.io/Logging_1273/tillsyn/A 16837-2023 tillsynsbegäran.docx", "A 16837-2023")</f>
        <v/>
      </c>
      <c r="AD32">
        <f>HYPERLINK("https://klasma.github.io/Logging_1273/tillsynsmail/A 16837-2023 tillsynsbegäran mail.docx", "A 16837-2023")</f>
        <v/>
      </c>
      <c r="AE32">
        <f>HYPERLINK("https://klasma.github.io/Logging_1273/fåglar/A 16837-2023 prioriterade fågelarter.docx", "A 16837-2023")</f>
        <v/>
      </c>
    </row>
    <row r="33" ht="15" customHeight="1">
      <c r="A33" t="inlineStr">
        <is>
          <t>A 13143-2023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45002</v>
      </c>
      <c r="E33" s="1" t="n">
        <v>46306</v>
      </c>
      <c r="F33" t="inlineStr">
        <is>
          <t>SKÅNE LÄN</t>
        </is>
      </c>
      <c r="G33" t="inlineStr">
        <is>
          <t>OSBY</t>
        </is>
      </c>
      <c r="I33" t="n">
        <v>13.5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Klippfrullania</t>
        </is>
      </c>
      <c r="W33">
        <f>HYPERLINK("https://klasma.github.io/Logging_1273/artfynd/A 13143-2023 artfynd.xlsx", "A 13143-2023")</f>
        <v/>
      </c>
      <c r="X33">
        <f>HYPERLINK("https://klasma.github.io/Logging_1273/kartor/A 13143-2023 karta.png", "A 13143-2023")</f>
        <v/>
      </c>
      <c r="Y33">
        <f>HYPERLINK("https://klasma.github.io/Logging_1273/kartor_geotiff/A 13143-2023 georefererad karta.tif", "A 13143-2023")</f>
        <v/>
      </c>
      <c r="AA33">
        <f>HYPERLINK("https://klasma.github.io/Logging_1273/klagomål/A 13143-2023 FSC-klagomål.docx", "A 13143-2023")</f>
        <v/>
      </c>
      <c r="AB33">
        <f>HYPERLINK("https://klasma.github.io/Logging_1273/klagomålsmail/A 13143-2023 FSC-klagomål mail.docx", "A 13143-2023")</f>
        <v/>
      </c>
      <c r="AC33">
        <f>HYPERLINK("https://klasma.github.io/Logging_1273/tillsyn/A 13143-2023 tillsynsbegäran.docx", "A 13143-2023")</f>
        <v/>
      </c>
      <c r="AD33">
        <f>HYPERLINK("https://klasma.github.io/Logging_1273/tillsynsmail/A 13143-2023 tillsynsbegäran mail.docx", "A 13143-2023")</f>
        <v/>
      </c>
    </row>
    <row r="34" ht="15" customHeight="1">
      <c r="A34" t="inlineStr">
        <is>
          <t>A 33486-2022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44788</v>
      </c>
      <c r="E34" s="1" t="n">
        <v>46306</v>
      </c>
      <c r="F34" t="inlineStr">
        <is>
          <t>SKÅNE LÄN</t>
        </is>
      </c>
      <c r="G34" t="inlineStr">
        <is>
          <t>OSBY</t>
        </is>
      </c>
      <c r="I34" t="n">
        <v>7.8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Sparvuggla</t>
        </is>
      </c>
      <c r="W34">
        <f>HYPERLINK("https://klasma.github.io/Logging_1273/artfynd/A 33486-2022 artfynd.xlsx", "A 33486-2022")</f>
        <v/>
      </c>
      <c r="X34">
        <f>HYPERLINK("https://klasma.github.io/Logging_1273/kartor/A 33486-2022 karta.png", "A 33486-2022")</f>
        <v/>
      </c>
      <c r="Y34">
        <f>HYPERLINK("https://klasma.github.io/Logging_1273/kartor_geotiff/A 33486-2022 georefererad karta.tif", "A 33486-2022")</f>
        <v/>
      </c>
      <c r="AA34">
        <f>HYPERLINK("https://klasma.github.io/Logging_1273/klagomål/A 33486-2022 FSC-klagomål.docx", "A 33486-2022")</f>
        <v/>
      </c>
      <c r="AB34">
        <f>HYPERLINK("https://klasma.github.io/Logging_1273/klagomålsmail/A 33486-2022 FSC-klagomål mail.docx", "A 33486-2022")</f>
        <v/>
      </c>
      <c r="AC34">
        <f>HYPERLINK("https://klasma.github.io/Logging_1273/tillsyn/A 33486-2022 tillsynsbegäran.docx", "A 33486-2022")</f>
        <v/>
      </c>
      <c r="AD34">
        <f>HYPERLINK("https://klasma.github.io/Logging_1273/tillsynsmail/A 33486-2022 tillsynsbegäran mail.docx", "A 33486-2022")</f>
        <v/>
      </c>
      <c r="AE34">
        <f>HYPERLINK("https://klasma.github.io/Logging_1273/fåglar/A 33486-2022 prioriterade fågelarter.docx", "A 33486-2022")</f>
        <v/>
      </c>
    </row>
    <row r="35" ht="15" customHeight="1">
      <c r="A35" t="inlineStr">
        <is>
          <t>A 42610-2025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46306</v>
      </c>
      <c r="F35" t="inlineStr">
        <is>
          <t>SKÅNE LÄN</t>
        </is>
      </c>
      <c r="G35" t="inlineStr">
        <is>
          <t>OSBY</t>
        </is>
      </c>
      <c r="H35" t="inlineStr">
        <is>
          <t>Kyrkan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Havstulpanlav</t>
        </is>
      </c>
      <c r="W35">
        <f>HYPERLINK("https://klasma.github.io/Logging_1273/artfynd/A 42610-2025 artfynd.xlsx", "A 42610-2025")</f>
        <v/>
      </c>
      <c r="X35">
        <f>HYPERLINK("https://klasma.github.io/Logging_1273/kartor/A 42610-2025 karta.png", "A 42610-2025")</f>
        <v/>
      </c>
      <c r="Y35">
        <f>HYPERLINK("https://klasma.github.io/Logging_1273/kartor_geotiff/A 42610-2025 georefererad karta.tif", "A 42610-2025")</f>
        <v/>
      </c>
      <c r="AA35">
        <f>HYPERLINK("https://klasma.github.io/Logging_1273/klagomål/A 42610-2025 FSC-klagomål.docx", "A 42610-2025")</f>
        <v/>
      </c>
      <c r="AB35">
        <f>HYPERLINK("https://klasma.github.io/Logging_1273/klagomålsmail/A 42610-2025 FSC-klagomål mail.docx", "A 42610-2025")</f>
        <v/>
      </c>
      <c r="AC35">
        <f>HYPERLINK("https://klasma.github.io/Logging_1273/tillsyn/A 42610-2025 tillsynsbegäran.docx", "A 42610-2025")</f>
        <v/>
      </c>
      <c r="AD35">
        <f>HYPERLINK("https://klasma.github.io/Logging_1273/tillsynsmail/A 42610-2025 tillsynsbegäran mail.docx", "A 42610-2025")</f>
        <v/>
      </c>
    </row>
    <row r="36" ht="15" customHeight="1">
      <c r="A36" t="inlineStr">
        <is>
          <t>A 43095-2025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45909</v>
      </c>
      <c r="E36" s="1" t="n">
        <v>46306</v>
      </c>
      <c r="F36" t="inlineStr">
        <is>
          <t>SKÅNE LÄN</t>
        </is>
      </c>
      <c r="G36" t="inlineStr">
        <is>
          <t>OSBY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HYPERLINK("https://klasma.github.io/Logging_1273/artfynd/A 43095-2025 artfynd.xlsx", "A 43095-2025")</f>
        <v/>
      </c>
      <c r="X36">
        <f>HYPERLINK("https://klasma.github.io/Logging_1273/kartor/A 43095-2025 karta.png", "A 43095-2025")</f>
        <v/>
      </c>
      <c r="Y36">
        <f>HYPERLINK("https://klasma.github.io/Logging_1273/kartor_geotiff/A 43095-2025 georefererad karta.tif", "A 43095-2025")</f>
        <v/>
      </c>
      <c r="AA36">
        <f>HYPERLINK("https://klasma.github.io/Logging_1273/klagomål/A 43095-2025 FSC-klagomål.docx", "A 43095-2025")</f>
        <v/>
      </c>
      <c r="AB36">
        <f>HYPERLINK("https://klasma.github.io/Logging_1273/klagomålsmail/A 43095-2025 FSC-klagomål mail.docx", "A 43095-2025")</f>
        <v/>
      </c>
      <c r="AC36">
        <f>HYPERLINK("https://klasma.github.io/Logging_1273/tillsyn/A 43095-2025 tillsynsbegäran.docx", "A 43095-2025")</f>
        <v/>
      </c>
      <c r="AD36">
        <f>HYPERLINK("https://klasma.github.io/Logging_1273/tillsynsmail/A 43095-2025 tillsynsbegäran mail.docx", "A 43095-2025")</f>
        <v/>
      </c>
    </row>
    <row r="37" ht="15" customHeight="1">
      <c r="A37" t="inlineStr">
        <is>
          <t>A 61738-2024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46306</v>
      </c>
      <c r="F37" t="inlineStr">
        <is>
          <t>SKÅNE LÄN</t>
        </is>
      </c>
      <c r="G37" t="inlineStr">
        <is>
          <t>OSBY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snok</t>
        </is>
      </c>
      <c r="W37">
        <f>HYPERLINK("https://klasma.github.io/Logging_1273/artfynd/A 61738-2024 artfynd.xlsx", "A 61738-2024")</f>
        <v/>
      </c>
      <c r="X37">
        <f>HYPERLINK("https://klasma.github.io/Logging_1273/kartor/A 61738-2024 karta.png", "A 61738-2024")</f>
        <v/>
      </c>
      <c r="Y37">
        <f>HYPERLINK("https://klasma.github.io/Logging_1273/kartor_geotiff/A 61738-2024 georefererad karta.tif", "A 61738-2024")</f>
        <v/>
      </c>
      <c r="AA37">
        <f>HYPERLINK("https://klasma.github.io/Logging_1273/klagomål/A 61738-2024 FSC-klagomål.docx", "A 61738-2024")</f>
        <v/>
      </c>
      <c r="AB37">
        <f>HYPERLINK("https://klasma.github.io/Logging_1273/klagomålsmail/A 61738-2024 FSC-klagomål mail.docx", "A 61738-2024")</f>
        <v/>
      </c>
      <c r="AC37">
        <f>HYPERLINK("https://klasma.github.io/Logging_1273/tillsyn/A 61738-2024 tillsynsbegäran.docx", "A 61738-2024")</f>
        <v/>
      </c>
      <c r="AD37">
        <f>HYPERLINK("https://klasma.github.io/Logging_1273/tillsynsmail/A 61738-2024 tillsynsbegäran mail.docx", "A 61738-2024")</f>
        <v/>
      </c>
    </row>
    <row r="38" ht="15" customHeight="1">
      <c r="A38" t="inlineStr">
        <is>
          <t>A 46477-2025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45925</v>
      </c>
      <c r="E38" s="1" t="n">
        <v>46306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HYPERLINK("https://klasma.github.io/Logging_1273/artfynd/A 46477-2025 artfynd.xlsx", "A 46477-2025")</f>
        <v/>
      </c>
      <c r="X38">
        <f>HYPERLINK("https://klasma.github.io/Logging_1273/kartor/A 46477-2025 karta.png", "A 46477-2025")</f>
        <v/>
      </c>
      <c r="Y38">
        <f>HYPERLINK("https://klasma.github.io/Logging_1273/kartor_geotiff/A 46477-2025 georefererad karta.tif", "A 46477-2025")</f>
        <v/>
      </c>
      <c r="AA38">
        <f>HYPERLINK("https://klasma.github.io/Logging_1273/klagomål/A 46477-2025 FSC-klagomål.docx", "A 46477-2025")</f>
        <v/>
      </c>
      <c r="AB38">
        <f>HYPERLINK("https://klasma.github.io/Logging_1273/klagomålsmail/A 46477-2025 FSC-klagomål mail.docx", "A 46477-2025")</f>
        <v/>
      </c>
      <c r="AC38">
        <f>HYPERLINK("https://klasma.github.io/Logging_1273/tillsyn/A 46477-2025 tillsynsbegäran.docx", "A 46477-2025")</f>
        <v/>
      </c>
      <c r="AD38">
        <f>HYPERLINK("https://klasma.github.io/Logging_1273/tillsynsmail/A 46477-2025 tillsynsbegäran mail.docx", "A 46477-2025")</f>
        <v/>
      </c>
    </row>
    <row r="39" ht="15" customHeight="1">
      <c r="A39" t="inlineStr">
        <is>
          <t>A 61517-2022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46306</v>
      </c>
      <c r="F39" t="inlineStr">
        <is>
          <t>SKÅNE LÄN</t>
        </is>
      </c>
      <c r="G39" t="inlineStr">
        <is>
          <t>OSBY</t>
        </is>
      </c>
      <c r="H39" t="inlineStr">
        <is>
          <t>Kyrkan</t>
        </is>
      </c>
      <c r="I39" t="n">
        <v>4.4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HYPERLINK("https://klasma.github.io/Logging_1273/artfynd/A 61517-2022 artfynd.xlsx", "A 61517-2022")</f>
        <v/>
      </c>
      <c r="X39">
        <f>HYPERLINK("https://klasma.github.io/Logging_1273/kartor/A 61517-2022 karta.png", "A 61517-2022")</f>
        <v/>
      </c>
      <c r="Y39">
        <f>HYPERLINK("https://klasma.github.io/Logging_1273/kartor_geotiff/A 61517-2022 georefererad karta.tif", "A 61517-2022")</f>
        <v/>
      </c>
      <c r="AA39">
        <f>HYPERLINK("https://klasma.github.io/Logging_1273/klagomål/A 61517-2022 FSC-klagomål.docx", "A 61517-2022")</f>
        <v/>
      </c>
      <c r="AB39">
        <f>HYPERLINK("https://klasma.github.io/Logging_1273/klagomålsmail/A 61517-2022 FSC-klagomål mail.docx", "A 61517-2022")</f>
        <v/>
      </c>
      <c r="AC39">
        <f>HYPERLINK("https://klasma.github.io/Logging_1273/tillsyn/A 61517-2022 tillsynsbegäran.docx", "A 61517-2022")</f>
        <v/>
      </c>
      <c r="AD39">
        <f>HYPERLINK("https://klasma.github.io/Logging_1273/tillsynsmail/A 61517-2022 tillsynsbegäran mail.docx", "A 61517-2022")</f>
        <v/>
      </c>
    </row>
    <row r="40" ht="15" customHeight="1">
      <c r="A40" t="inlineStr">
        <is>
          <t>A 58641-2022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46306</v>
      </c>
      <c r="F40" t="inlineStr">
        <is>
          <t>SKÅNE LÄN</t>
        </is>
      </c>
      <c r="G40" t="inlineStr">
        <is>
          <t>OSBY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HYPERLINK("https://klasma.github.io/Logging_1273/artfynd/A 58641-2022 artfynd.xlsx", "A 58641-2022")</f>
        <v/>
      </c>
      <c r="X40">
        <f>HYPERLINK("https://klasma.github.io/Logging_1273/kartor/A 58641-2022 karta.png", "A 58641-2022")</f>
        <v/>
      </c>
      <c r="Y40">
        <f>HYPERLINK("https://klasma.github.io/Logging_1273/kartor_geotiff/A 58641-2022 georefererad karta.tif", "A 58641-2022")</f>
        <v/>
      </c>
      <c r="AA40">
        <f>HYPERLINK("https://klasma.github.io/Logging_1273/klagomål/A 58641-2022 FSC-klagomål.docx", "A 58641-2022")</f>
        <v/>
      </c>
      <c r="AB40">
        <f>HYPERLINK("https://klasma.github.io/Logging_1273/klagomålsmail/A 58641-2022 FSC-klagomål mail.docx", "A 58641-2022")</f>
        <v/>
      </c>
      <c r="AC40">
        <f>HYPERLINK("https://klasma.github.io/Logging_1273/tillsyn/A 58641-2022 tillsynsbegäran.docx", "A 58641-2022")</f>
        <v/>
      </c>
      <c r="AD40">
        <f>HYPERLINK("https://klasma.github.io/Logging_1273/tillsynsmail/A 58641-2022 tillsynsbegäran mail.docx", "A 58641-2022")</f>
        <v/>
      </c>
    </row>
    <row r="41" ht="15" customHeight="1">
      <c r="A41" t="inlineStr">
        <is>
          <t>A 42027-2023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45177</v>
      </c>
      <c r="E41" s="1" t="n">
        <v>46306</v>
      </c>
      <c r="F41" t="inlineStr">
        <is>
          <t>SKÅNE LÄN</t>
        </is>
      </c>
      <c r="G41" t="inlineStr">
        <is>
          <t>OSBY</t>
        </is>
      </c>
      <c r="H41" t="inlineStr">
        <is>
          <t>Kommuner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Grovticka</t>
        </is>
      </c>
      <c r="W41">
        <f>HYPERLINK("https://klasma.github.io/Logging_1273/artfynd/A 42027-2023 artfynd.xlsx", "A 42027-2023")</f>
        <v/>
      </c>
      <c r="X41">
        <f>HYPERLINK("https://klasma.github.io/Logging_1273/kartor/A 42027-2023 karta.png", "A 42027-2023")</f>
        <v/>
      </c>
      <c r="Y41">
        <f>HYPERLINK("https://klasma.github.io/Logging_1273/kartor_geotiff/A 42027-2023 georefererad karta.tif", "A 42027-2023")</f>
        <v/>
      </c>
      <c r="AA41">
        <f>HYPERLINK("https://klasma.github.io/Logging_1273/klagomål/A 42027-2023 FSC-klagomål.docx", "A 42027-2023")</f>
        <v/>
      </c>
      <c r="AB41">
        <f>HYPERLINK("https://klasma.github.io/Logging_1273/klagomålsmail/A 42027-2023 FSC-klagomål mail.docx", "A 42027-2023")</f>
        <v/>
      </c>
      <c r="AC41">
        <f>HYPERLINK("https://klasma.github.io/Logging_1273/tillsyn/A 42027-2023 tillsynsbegäran.docx", "A 42027-2023")</f>
        <v/>
      </c>
      <c r="AD41">
        <f>HYPERLINK("https://klasma.github.io/Logging_1273/tillsynsmail/A 42027-2023 tillsynsbegäran mail.docx", "A 42027-2023")</f>
        <v/>
      </c>
    </row>
    <row r="42" ht="15" customHeight="1">
      <c r="A42" t="inlineStr">
        <is>
          <t>A 31722-2023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46306</v>
      </c>
      <c r="F42" t="inlineStr">
        <is>
          <t>SKÅNE LÄN</t>
        </is>
      </c>
      <c r="G42" t="inlineStr">
        <is>
          <t>OSBY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Klockgentiana</t>
        </is>
      </c>
      <c r="W42">
        <f>HYPERLINK("https://klasma.github.io/Logging_1273/artfynd/A 31722-2023 artfynd.xlsx", "A 31722-2023")</f>
        <v/>
      </c>
      <c r="X42">
        <f>HYPERLINK("https://klasma.github.io/Logging_1273/kartor/A 31722-2023 karta.png", "A 31722-2023")</f>
        <v/>
      </c>
      <c r="Y42">
        <f>HYPERLINK("https://klasma.github.io/Logging_1273/kartor_geotiff/A 31722-2023 georefererad karta.tif", "A 31722-2023")</f>
        <v/>
      </c>
      <c r="AA42">
        <f>HYPERLINK("https://klasma.github.io/Logging_1273/klagomål/A 31722-2023 FSC-klagomål.docx", "A 31722-2023")</f>
        <v/>
      </c>
      <c r="AB42">
        <f>HYPERLINK("https://klasma.github.io/Logging_1273/klagomålsmail/A 31722-2023 FSC-klagomål mail.docx", "A 31722-2023")</f>
        <v/>
      </c>
      <c r="AC42">
        <f>HYPERLINK("https://klasma.github.io/Logging_1273/tillsyn/A 31722-2023 tillsynsbegäran.docx", "A 31722-2023")</f>
        <v/>
      </c>
      <c r="AD42">
        <f>HYPERLINK("https://klasma.github.io/Logging_1273/tillsynsmail/A 31722-2023 tillsynsbegäran mail.docx", "A 31722-2023")</f>
        <v/>
      </c>
    </row>
    <row r="43" ht="15" customHeight="1">
      <c r="A43" t="inlineStr">
        <is>
          <t>A 20227-2022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44698</v>
      </c>
      <c r="E43" s="1" t="n">
        <v>46306</v>
      </c>
      <c r="F43" t="inlineStr">
        <is>
          <t>SKÅNE LÄN</t>
        </is>
      </c>
      <c r="G43" t="inlineStr">
        <is>
          <t>OSBY</t>
        </is>
      </c>
      <c r="H43" t="inlineStr">
        <is>
          <t>Kommuner</t>
        </is>
      </c>
      <c r="I43" t="n">
        <v>7.1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Havsörn</t>
        </is>
      </c>
      <c r="W43">
        <f>HYPERLINK("https://klasma.github.io/Logging_1273/artfynd/A 20227-2022 artfynd.xlsx", "A 20227-2022")</f>
        <v/>
      </c>
      <c r="X43">
        <f>HYPERLINK("https://klasma.github.io/Logging_1273/kartor/A 20227-2022 karta.png", "A 20227-2022")</f>
        <v/>
      </c>
      <c r="Y43">
        <f>HYPERLINK("https://klasma.github.io/Logging_1273/kartor_geotiff/A 20227-2022 georefererad karta.tif", "A 20227-2022")</f>
        <v/>
      </c>
      <c r="AA43">
        <f>HYPERLINK("https://klasma.github.io/Logging_1273/klagomål/A 20227-2022 FSC-klagomål.docx", "A 20227-2022")</f>
        <v/>
      </c>
      <c r="AB43">
        <f>HYPERLINK("https://klasma.github.io/Logging_1273/klagomålsmail/A 20227-2022 FSC-klagomål mail.docx", "A 20227-2022")</f>
        <v/>
      </c>
      <c r="AC43">
        <f>HYPERLINK("https://klasma.github.io/Logging_1273/tillsyn/A 20227-2022 tillsynsbegäran.docx", "A 20227-2022")</f>
        <v/>
      </c>
      <c r="AD43">
        <f>HYPERLINK("https://klasma.github.io/Logging_1273/tillsynsmail/A 20227-2022 tillsynsbegäran mail.docx", "A 20227-2022")</f>
        <v/>
      </c>
      <c r="AE43">
        <f>HYPERLINK("https://klasma.github.io/Logging_1273/fåglar/A 20227-2022 prioriterade fågelarter.docx", "A 20227-2022")</f>
        <v/>
      </c>
    </row>
    <row r="44" ht="15" customHeight="1">
      <c r="A44" t="inlineStr">
        <is>
          <t>A 60983-2025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45999</v>
      </c>
      <c r="E44" s="1" t="n">
        <v>46306</v>
      </c>
      <c r="F44" t="inlineStr">
        <is>
          <t>SKÅNE LÄN</t>
        </is>
      </c>
      <c r="G44" t="inlineStr">
        <is>
          <t>OSBY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Ask</t>
        </is>
      </c>
      <c r="W44">
        <f>HYPERLINK("https://klasma.github.io/Logging_1273/artfynd/A 60983-2025 artfynd.xlsx", "A 60983-2025")</f>
        <v/>
      </c>
      <c r="X44">
        <f>HYPERLINK("https://klasma.github.io/Logging_1273/kartor/A 60983-2025 karta.png", "A 60983-2025")</f>
        <v/>
      </c>
      <c r="Y44">
        <f>HYPERLINK("https://klasma.github.io/Logging_1273/kartor_geotiff/A 60983-2025 georefererad karta.tif", "A 60983-2025")</f>
        <v/>
      </c>
      <c r="AA44">
        <f>HYPERLINK("https://klasma.github.io/Logging_1273/klagomål/A 60983-2025 FSC-klagomål.docx", "A 60983-2025")</f>
        <v/>
      </c>
      <c r="AB44">
        <f>HYPERLINK("https://klasma.github.io/Logging_1273/klagomålsmail/A 60983-2025 FSC-klagomål mail.docx", "A 60983-2025")</f>
        <v/>
      </c>
      <c r="AC44">
        <f>HYPERLINK("https://klasma.github.io/Logging_1273/tillsyn/A 60983-2025 tillsynsbegäran.docx", "A 60983-2025")</f>
        <v/>
      </c>
      <c r="AD44">
        <f>HYPERLINK("https://klasma.github.io/Logging_1273/tillsynsmail/A 60983-2025 tillsynsbegäran mail.docx", "A 60983-2025")</f>
        <v/>
      </c>
    </row>
    <row r="45" ht="15" customHeight="1">
      <c r="A45" t="inlineStr">
        <is>
          <t>A 24720-2025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46306</v>
      </c>
      <c r="F45" t="inlineStr">
        <is>
          <t>SKÅNE LÄN</t>
        </is>
      </c>
      <c r="G45" t="inlineStr">
        <is>
          <t>OSBY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Ask</t>
        </is>
      </c>
      <c r="W45">
        <f>HYPERLINK("https://klasma.github.io/Logging_1273/artfynd/A 24720-2025 artfynd.xlsx", "A 24720-2025")</f>
        <v/>
      </c>
      <c r="X45">
        <f>HYPERLINK("https://klasma.github.io/Logging_1273/kartor/A 24720-2025 karta.png", "A 24720-2025")</f>
        <v/>
      </c>
      <c r="Y45">
        <f>HYPERLINK("https://klasma.github.io/Logging_1273/kartor_geotiff/A 24720-2025 georefererad karta.tif", "A 24720-2025")</f>
        <v/>
      </c>
      <c r="AA45">
        <f>HYPERLINK("https://klasma.github.io/Logging_1273/klagomål/A 24720-2025 FSC-klagomål.docx", "A 24720-2025")</f>
        <v/>
      </c>
      <c r="AB45">
        <f>HYPERLINK("https://klasma.github.io/Logging_1273/klagomålsmail/A 24720-2025 FSC-klagomål mail.docx", "A 24720-2025")</f>
        <v/>
      </c>
      <c r="AC45">
        <f>HYPERLINK("https://klasma.github.io/Logging_1273/tillsyn/A 24720-2025 tillsynsbegäran.docx", "A 24720-2025")</f>
        <v/>
      </c>
      <c r="AD45">
        <f>HYPERLINK("https://klasma.github.io/Logging_1273/tillsynsmail/A 24720-2025 tillsynsbegäran mail.docx", "A 24720-2025")</f>
        <v/>
      </c>
    </row>
    <row r="46" ht="15" customHeight="1">
      <c r="A46" t="inlineStr">
        <is>
          <t>A 50741-2023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46306</v>
      </c>
      <c r="F46" t="inlineStr">
        <is>
          <t>SKÅNE LÄN</t>
        </is>
      </c>
      <c r="G46" t="inlineStr">
        <is>
          <t>OSBY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HYPERLINK("https://klasma.github.io/Logging_1273/artfynd/A 50741-2023 artfynd.xlsx", "A 50741-2023")</f>
        <v/>
      </c>
      <c r="X46">
        <f>HYPERLINK("https://klasma.github.io/Logging_1273/kartor/A 50741-2023 karta.png", "A 50741-2023")</f>
        <v/>
      </c>
      <c r="Y46">
        <f>HYPERLINK("https://klasma.github.io/Logging_1273/kartor_geotiff/A 50741-2023 georefererad karta.tif", "A 50741-2023")</f>
        <v/>
      </c>
      <c r="AA46">
        <f>HYPERLINK("https://klasma.github.io/Logging_1273/klagomål/A 50741-2023 FSC-klagomål.docx", "A 50741-2023")</f>
        <v/>
      </c>
      <c r="AB46">
        <f>HYPERLINK("https://klasma.github.io/Logging_1273/klagomålsmail/A 50741-2023 FSC-klagomål mail.docx", "A 50741-2023")</f>
        <v/>
      </c>
      <c r="AC46">
        <f>HYPERLINK("https://klasma.github.io/Logging_1273/tillsyn/A 50741-2023 tillsynsbegäran.docx", "A 50741-2023")</f>
        <v/>
      </c>
      <c r="AD46">
        <f>HYPERLINK("https://klasma.github.io/Logging_1273/tillsynsmail/A 50741-2023 tillsynsbegäran mail.docx", "A 50741-2023")</f>
        <v/>
      </c>
    </row>
    <row r="47" ht="15" customHeight="1">
      <c r="A47" t="inlineStr">
        <is>
          <t>A 24543-2026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46170</v>
      </c>
      <c r="E47" s="1" t="n">
        <v>46306</v>
      </c>
      <c r="F47" t="inlineStr">
        <is>
          <t>SKÅNE LÄN</t>
        </is>
      </c>
      <c r="G47" t="inlineStr">
        <is>
          <t>OSBY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HYPERLINK("https://klasma.github.io/Logging_1273/artfynd/A 24543-2026 artfynd.xlsx", "A 24543-2026")</f>
        <v/>
      </c>
      <c r="X47">
        <f>HYPERLINK("https://klasma.github.io/Logging_1273/kartor/A 24543-2026 karta.png", "A 24543-2026")</f>
        <v/>
      </c>
      <c r="Y47">
        <f>HYPERLINK("https://klasma.github.io/Logging_1273/kartor_geotiff/A 24543-2026 georefererad karta.tif", "A 24543-2026")</f>
        <v/>
      </c>
      <c r="AA47">
        <f>HYPERLINK("https://klasma.github.io/Logging_1273/klagomål/A 24543-2026 FSC-klagomål.docx", "A 24543-2026")</f>
        <v/>
      </c>
      <c r="AB47">
        <f>HYPERLINK("https://klasma.github.io/Logging_1273/klagomålsmail/A 24543-2026 FSC-klagomål mail.docx", "A 24543-2026")</f>
        <v/>
      </c>
      <c r="AC47">
        <f>HYPERLINK("https://klasma.github.io/Logging_1273/tillsyn/A 24543-2026 tillsynsbegäran.docx", "A 24543-2026")</f>
        <v/>
      </c>
      <c r="AD47">
        <f>HYPERLINK("https://klasma.github.io/Logging_1273/tillsynsmail/A 24543-2026 tillsynsbegäran mail.docx", "A 24543-2026")</f>
        <v/>
      </c>
    </row>
    <row r="48" ht="15" customHeight="1">
      <c r="A48" t="inlineStr">
        <is>
          <t>A 25909-2026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46306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Kungsfågel</t>
        </is>
      </c>
      <c r="W48">
        <f>HYPERLINK("https://klasma.github.io/Logging_1273/artfynd/A 25909-2026 artfynd.xlsx", "A 25909-2026")</f>
        <v/>
      </c>
      <c r="X48">
        <f>HYPERLINK("https://klasma.github.io/Logging_1273/kartor/A 25909-2026 karta.png", "A 25909-2026")</f>
        <v/>
      </c>
      <c r="Y48">
        <f>HYPERLINK("https://klasma.github.io/Logging_1273/kartor_geotiff/A 25909-2026 georefererad karta.tif", "A 25909-2026")</f>
        <v/>
      </c>
      <c r="AA48">
        <f>HYPERLINK("https://klasma.github.io/Logging_1273/klagomål/A 25909-2026 FSC-klagomål.docx", "A 25909-2026")</f>
        <v/>
      </c>
      <c r="AB48">
        <f>HYPERLINK("https://klasma.github.io/Logging_1273/klagomålsmail/A 25909-2026 FSC-klagomål mail.docx", "A 25909-2026")</f>
        <v/>
      </c>
      <c r="AC48">
        <f>HYPERLINK("https://klasma.github.io/Logging_1273/tillsyn/A 25909-2026 tillsynsbegäran.docx", "A 25909-2026")</f>
        <v/>
      </c>
      <c r="AD48">
        <f>HYPERLINK("https://klasma.github.io/Logging_1273/tillsynsmail/A 25909-2026 tillsynsbegäran mail.docx", "A 25909-2026")</f>
        <v/>
      </c>
    </row>
    <row r="49" ht="15" customHeight="1">
      <c r="A49" t="inlineStr">
        <is>
          <t>A 26457-2026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46183</v>
      </c>
      <c r="E49" s="1" t="n">
        <v>46306</v>
      </c>
      <c r="F49" t="inlineStr">
        <is>
          <t>SKÅNE LÄN</t>
        </is>
      </c>
      <c r="G49" t="inlineStr">
        <is>
          <t>OSBY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Skogsduva</t>
        </is>
      </c>
      <c r="W49">
        <f>HYPERLINK("https://klasma.github.io/Logging_1273/artfynd/A 26457-2026 artfynd.xlsx", "A 26457-2026")</f>
        <v/>
      </c>
      <c r="X49">
        <f>HYPERLINK("https://klasma.github.io/Logging_1273/kartor/A 26457-2026 karta.png", "A 26457-2026")</f>
        <v/>
      </c>
      <c r="Y49">
        <f>HYPERLINK("https://klasma.github.io/Logging_1273/kartor_geotiff/A 26457-2026 georefererad karta.tif", "A 26457-2026")</f>
        <v/>
      </c>
      <c r="AA49">
        <f>HYPERLINK("https://klasma.github.io/Logging_1273/klagomål/A 26457-2026 FSC-klagomål.docx", "A 26457-2026")</f>
        <v/>
      </c>
      <c r="AB49">
        <f>HYPERLINK("https://klasma.github.io/Logging_1273/klagomålsmail/A 26457-2026 FSC-klagomål mail.docx", "A 26457-2026")</f>
        <v/>
      </c>
      <c r="AC49">
        <f>HYPERLINK("https://klasma.github.io/Logging_1273/tillsyn/A 26457-2026 tillsynsbegäran.docx", "A 26457-2026")</f>
        <v/>
      </c>
      <c r="AD49">
        <f>HYPERLINK("https://klasma.github.io/Logging_1273/tillsynsmail/A 26457-2026 tillsynsbegäran mail.docx", "A 26457-2026")</f>
        <v/>
      </c>
    </row>
    <row r="50" ht="15" customHeight="1">
      <c r="A50" t="inlineStr">
        <is>
          <t>A 27486-2026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46306</v>
      </c>
      <c r="F50" t="inlineStr">
        <is>
          <t>SKÅNE LÄN</t>
        </is>
      </c>
      <c r="G50" t="inlineStr">
        <is>
          <t>OSBY</t>
        </is>
      </c>
      <c r="H50" t="inlineStr">
        <is>
          <t>Sveaskog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Tofsmes</t>
        </is>
      </c>
      <c r="W50">
        <f>HYPERLINK("https://klasma.github.io/Logging_1273/artfynd/A 27486-2026 artfynd.xlsx", "A 27486-2026")</f>
        <v/>
      </c>
      <c r="X50">
        <f>HYPERLINK("https://klasma.github.io/Logging_1273/kartor/A 27486-2026 karta.png", "A 27486-2026")</f>
        <v/>
      </c>
      <c r="Y50">
        <f>HYPERLINK("https://klasma.github.io/Logging_1273/kartor_geotiff/A 27486-2026 georefererad karta.tif", "A 27486-2026")</f>
        <v/>
      </c>
      <c r="AA50">
        <f>HYPERLINK("https://klasma.github.io/Logging_1273/klagomål/A 27486-2026 FSC-klagomål.docx", "A 27486-2026")</f>
        <v/>
      </c>
      <c r="AB50">
        <f>HYPERLINK("https://klasma.github.io/Logging_1273/klagomålsmail/A 27486-2026 FSC-klagomål mail.docx", "A 27486-2026")</f>
        <v/>
      </c>
      <c r="AC50">
        <f>HYPERLINK("https://klasma.github.io/Logging_1273/tillsyn/A 27486-2026 tillsynsbegäran.docx", "A 27486-2026")</f>
        <v/>
      </c>
      <c r="AD50">
        <f>HYPERLINK("https://klasma.github.io/Logging_1273/tillsynsmail/A 27486-2026 tillsynsbegäran mail.docx", "A 27486-2026")</f>
        <v/>
      </c>
    </row>
    <row r="51" ht="15" customHeight="1">
      <c r="A51" t="inlineStr">
        <is>
          <t>A 37500-2026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46275</v>
      </c>
      <c r="E51" s="1" t="n">
        <v>46306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8.4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HYPERLINK("https://klasma.github.io/Logging_1273/artfynd/A 37500-2026 artfynd.xlsx", "A 37500-2026")</f>
        <v/>
      </c>
      <c r="X51">
        <f>HYPERLINK("https://klasma.github.io/Logging_1273/kartor/A 37500-2026 karta.png", "A 37500-2026")</f>
        <v/>
      </c>
      <c r="Y51">
        <f>HYPERLINK("https://klasma.github.io/Logging_1273/kartor_geotiff/A 37500-2026 georefererad karta.tif", "A 37500-2026")</f>
        <v/>
      </c>
      <c r="AA51">
        <f>HYPERLINK("https://klasma.github.io/Logging_1273/klagomål/A 37500-2026 FSC-klagomål.docx", "A 37500-2026")</f>
        <v/>
      </c>
      <c r="AB51">
        <f>HYPERLINK("https://klasma.github.io/Logging_1273/klagomålsmail/A 37500-2026 FSC-klagomål mail.docx", "A 37500-2026")</f>
        <v/>
      </c>
      <c r="AC51">
        <f>HYPERLINK("https://klasma.github.io/Logging_1273/tillsyn/A 37500-2026 tillsynsbegäran.docx", "A 37500-2026")</f>
        <v/>
      </c>
      <c r="AD51">
        <f>HYPERLINK("https://klasma.github.io/Logging_1273/tillsynsmail/A 37500-2026 tillsynsbegäran mail.docx", "A 37500-2026")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46306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46306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46306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46306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46306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46306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46306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46306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46306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46306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46306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46306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46306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46306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46306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46306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46306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46306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46306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46306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46306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46306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46306</v>
      </c>
      <c r="F74" t="inlineStr">
        <is>
          <t>SKÅNE LÄN</t>
        </is>
      </c>
      <c r="G74" t="inlineStr">
        <is>
          <t>OSBY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46306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46306</v>
      </c>
      <c r="F76" t="inlineStr">
        <is>
          <t>SKÅNE LÄN</t>
        </is>
      </c>
      <c r="G76" t="inlineStr">
        <is>
          <t>OSBY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46306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46306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46306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44764</v>
      </c>
      <c r="E80" s="1" t="n">
        <v>46306</v>
      </c>
      <c r="F80" t="inlineStr">
        <is>
          <t>SKÅNE LÄN</t>
        </is>
      </c>
      <c r="G80" t="inlineStr">
        <is>
          <t>OSBY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46306</v>
      </c>
      <c r="F81" t="inlineStr">
        <is>
          <t>SKÅNE LÄN</t>
        </is>
      </c>
      <c r="G81" t="inlineStr">
        <is>
          <t>OSBY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46306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46306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44575</v>
      </c>
      <c r="E84" s="1" t="n">
        <v>46306</v>
      </c>
      <c r="F84" t="inlineStr">
        <is>
          <t>SKÅNE LÄN</t>
        </is>
      </c>
      <c r="G84" t="inlineStr">
        <is>
          <t>OSBY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46306</v>
      </c>
      <c r="F85" t="inlineStr">
        <is>
          <t>SKÅNE LÄN</t>
        </is>
      </c>
      <c r="G85" t="inlineStr">
        <is>
          <t>OSBY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44805</v>
      </c>
      <c r="E86" s="1" t="n">
        <v>46306</v>
      </c>
      <c r="F86" t="inlineStr">
        <is>
          <t>SKÅNE LÄN</t>
        </is>
      </c>
      <c r="G86" t="inlineStr">
        <is>
          <t>OSBY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44700</v>
      </c>
      <c r="E87" s="1" t="n">
        <v>46306</v>
      </c>
      <c r="F87" t="inlineStr">
        <is>
          <t>SKÅNE LÄN</t>
        </is>
      </c>
      <c r="G87" t="inlineStr">
        <is>
          <t>OSBY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73920-2021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44553</v>
      </c>
      <c r="E88" s="1" t="n">
        <v>46306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46306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46306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46306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44662</v>
      </c>
      <c r="E92" s="1" t="n">
        <v>46306</v>
      </c>
      <c r="F92" t="inlineStr">
        <is>
          <t>SKÅNE LÄN</t>
        </is>
      </c>
      <c r="G92" t="inlineStr">
        <is>
          <t>OSBY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8794-2022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44614</v>
      </c>
      <c r="E93" s="1" t="n">
        <v>46306</v>
      </c>
      <c r="F93" t="inlineStr">
        <is>
          <t>SKÅNE LÄN</t>
        </is>
      </c>
      <c r="G93" t="inlineStr">
        <is>
          <t>OSBY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46306</v>
      </c>
      <c r="F94" t="inlineStr">
        <is>
          <t>SKÅNE LÄN</t>
        </is>
      </c>
      <c r="G94" t="inlineStr">
        <is>
          <t>OSBY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46306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46306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46306</v>
      </c>
      <c r="F97" t="inlineStr">
        <is>
          <t>SKÅNE LÄN</t>
        </is>
      </c>
      <c r="G97" t="inlineStr">
        <is>
          <t>OSBY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46306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44731</v>
      </c>
      <c r="E99" s="1" t="n">
        <v>46306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44610</v>
      </c>
      <c r="E100" s="1" t="n">
        <v>46306</v>
      </c>
      <c r="F100" t="inlineStr">
        <is>
          <t>SKÅNE LÄN</t>
        </is>
      </c>
      <c r="G100" t="inlineStr">
        <is>
          <t>OSBY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42497-2022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46306</v>
      </c>
      <c r="F101" t="inlineStr">
        <is>
          <t>SKÅNE LÄN</t>
        </is>
      </c>
      <c r="G101" t="inlineStr">
        <is>
          <t>OSBY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46306</v>
      </c>
      <c r="F102" t="inlineStr">
        <is>
          <t>SKÅNE LÄN</t>
        </is>
      </c>
      <c r="G102" t="inlineStr">
        <is>
          <t>OSBY</t>
        </is>
      </c>
      <c r="I102" t="n">
        <v>7.9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44721</v>
      </c>
      <c r="E103" s="1" t="n">
        <v>46306</v>
      </c>
      <c r="F103" t="inlineStr">
        <is>
          <t>SKÅNE LÄN</t>
        </is>
      </c>
      <c r="G103" t="inlineStr">
        <is>
          <t>OSBY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46306</v>
      </c>
      <c r="F104" t="inlineStr">
        <is>
          <t>SKÅNE LÄN</t>
        </is>
      </c>
      <c r="G104" t="inlineStr">
        <is>
          <t>OSBY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46306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44843</v>
      </c>
      <c r="E106" s="1" t="n">
        <v>46306</v>
      </c>
      <c r="F106" t="inlineStr">
        <is>
          <t>SKÅNE LÄN</t>
        </is>
      </c>
      <c r="G106" t="inlineStr">
        <is>
          <t>OSBY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46306</v>
      </c>
      <c r="F107" t="inlineStr">
        <is>
          <t>SKÅNE LÄN</t>
        </is>
      </c>
      <c r="G107" t="inlineStr">
        <is>
          <t>OSBY</t>
        </is>
      </c>
      <c r="H107" t="inlineStr">
        <is>
          <t>Kyrkan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46306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40524-2022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46306</v>
      </c>
      <c r="F109" t="inlineStr">
        <is>
          <t>SKÅNE LÄN</t>
        </is>
      </c>
      <c r="G109" t="inlineStr">
        <is>
          <t>OSBY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45255</v>
      </c>
      <c r="E110" s="1" t="n">
        <v>46306</v>
      </c>
      <c r="F110" t="inlineStr">
        <is>
          <t>SKÅNE LÄN</t>
        </is>
      </c>
      <c r="G110" t="inlineStr">
        <is>
          <t>OSBY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45259</v>
      </c>
      <c r="E111" s="1" t="n">
        <v>46306</v>
      </c>
      <c r="F111" t="inlineStr">
        <is>
          <t>SKÅNE LÄN</t>
        </is>
      </c>
      <c r="G111" t="inlineStr">
        <is>
          <t>OSBY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46306</v>
      </c>
      <c r="F112" t="inlineStr">
        <is>
          <t>SKÅNE LÄN</t>
        </is>
      </c>
      <c r="G112" t="inlineStr">
        <is>
          <t>OSBY</t>
        </is>
      </c>
      <c r="H112" t="inlineStr">
        <is>
          <t>Kyrkan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46306</v>
      </c>
      <c r="F113" t="inlineStr">
        <is>
          <t>SKÅNE LÄN</t>
        </is>
      </c>
      <c r="G113" t="inlineStr">
        <is>
          <t>OSBY</t>
        </is>
      </c>
      <c r="H113" t="inlineStr">
        <is>
          <t>Kyrkan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46306</v>
      </c>
      <c r="F114" t="inlineStr">
        <is>
          <t>SKÅNE LÄN</t>
        </is>
      </c>
      <c r="G114" t="inlineStr">
        <is>
          <t>OSBY</t>
        </is>
      </c>
      <c r="H114" t="inlineStr">
        <is>
          <t>Sveaskog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23234-2024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46306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44594</v>
      </c>
      <c r="E116" s="1" t="n">
        <v>46306</v>
      </c>
      <c r="F116" t="inlineStr">
        <is>
          <t>SKÅNE LÄN</t>
        </is>
      </c>
      <c r="G116" t="inlineStr">
        <is>
          <t>OSBY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44783</v>
      </c>
      <c r="E117" s="1" t="n">
        <v>46306</v>
      </c>
      <c r="F117" t="inlineStr">
        <is>
          <t>SKÅNE LÄN</t>
        </is>
      </c>
      <c r="G117" t="inlineStr">
        <is>
          <t>OSBY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45573</v>
      </c>
      <c r="E118" s="1" t="n">
        <v>46306</v>
      </c>
      <c r="F118" t="inlineStr">
        <is>
          <t>SKÅNE LÄN</t>
        </is>
      </c>
      <c r="G118" t="inlineStr">
        <is>
          <t>OSBY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46306</v>
      </c>
      <c r="F119" t="inlineStr">
        <is>
          <t>SKÅNE LÄN</t>
        </is>
      </c>
      <c r="G119" t="inlineStr">
        <is>
          <t>OSBY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46306</v>
      </c>
      <c r="F120" t="inlineStr">
        <is>
          <t>SKÅNE LÄN</t>
        </is>
      </c>
      <c r="G120" t="inlineStr">
        <is>
          <t>OSBY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45117</v>
      </c>
      <c r="E121" s="1" t="n">
        <v>46306</v>
      </c>
      <c r="F121" t="inlineStr">
        <is>
          <t>SKÅNE LÄN</t>
        </is>
      </c>
      <c r="G121" t="inlineStr">
        <is>
          <t>OSBY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46306</v>
      </c>
      <c r="F122" t="inlineStr">
        <is>
          <t>SKÅNE LÄN</t>
        </is>
      </c>
      <c r="G122" t="inlineStr">
        <is>
          <t>OSBY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46306</v>
      </c>
      <c r="F123" t="inlineStr">
        <is>
          <t>SKÅNE LÄN</t>
        </is>
      </c>
      <c r="G123" t="inlineStr">
        <is>
          <t>OSBY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46306</v>
      </c>
      <c r="F124" t="inlineStr">
        <is>
          <t>SKÅNE LÄN</t>
        </is>
      </c>
      <c r="G124" t="inlineStr">
        <is>
          <t>OSBY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46306</v>
      </c>
      <c r="F125" t="inlineStr">
        <is>
          <t>SKÅNE LÄN</t>
        </is>
      </c>
      <c r="G125" t="inlineStr">
        <is>
          <t>OSBY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44749</v>
      </c>
      <c r="E126" s="1" t="n">
        <v>46306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45259</v>
      </c>
      <c r="E127" s="1" t="n">
        <v>46306</v>
      </c>
      <c r="F127" t="inlineStr">
        <is>
          <t>SKÅNE LÄN</t>
        </is>
      </c>
      <c r="G127" t="inlineStr">
        <is>
          <t>OSBY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46306</v>
      </c>
      <c r="F128" t="inlineStr">
        <is>
          <t>SKÅNE LÄN</t>
        </is>
      </c>
      <c r="G128" t="inlineStr">
        <is>
          <t>OSBY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45369</v>
      </c>
      <c r="E129" s="1" t="n">
        <v>46306</v>
      </c>
      <c r="F129" t="inlineStr">
        <is>
          <t>SKÅNE LÄN</t>
        </is>
      </c>
      <c r="G129" t="inlineStr">
        <is>
          <t>OSBY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45370</v>
      </c>
      <c r="E130" s="1" t="n">
        <v>46306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46306</v>
      </c>
      <c r="F131" t="inlineStr">
        <is>
          <t>SKÅNE LÄN</t>
        </is>
      </c>
      <c r="G131" t="inlineStr">
        <is>
          <t>OSBY</t>
        </is>
      </c>
      <c r="I131" t="n">
        <v>11.3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46306</v>
      </c>
      <c r="F132" t="inlineStr">
        <is>
          <t>SKÅNE LÄN</t>
        </is>
      </c>
      <c r="G132" t="inlineStr">
        <is>
          <t>OSBY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45100</v>
      </c>
      <c r="E133" s="1" t="n">
        <v>46306</v>
      </c>
      <c r="F133" t="inlineStr">
        <is>
          <t>SKÅNE LÄN</t>
        </is>
      </c>
      <c r="G133" t="inlineStr">
        <is>
          <t>OSBY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46306</v>
      </c>
      <c r="F134" t="inlineStr">
        <is>
          <t>SKÅNE LÄN</t>
        </is>
      </c>
      <c r="G134" t="inlineStr">
        <is>
          <t>OSBY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58638-2022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46306</v>
      </c>
      <c r="F135" t="inlineStr">
        <is>
          <t>SKÅNE LÄN</t>
        </is>
      </c>
      <c r="G135" t="inlineStr">
        <is>
          <t>OSBY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46306</v>
      </c>
      <c r="F136" t="inlineStr">
        <is>
          <t>SKÅNE LÄN</t>
        </is>
      </c>
      <c r="G136" t="inlineStr">
        <is>
          <t>OSBY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46306</v>
      </c>
      <c r="F137" t="inlineStr">
        <is>
          <t>SKÅNE LÄN</t>
        </is>
      </c>
      <c r="G137" t="inlineStr">
        <is>
          <t>OSBY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46306</v>
      </c>
      <c r="F138" t="inlineStr">
        <is>
          <t>SKÅNE LÄN</t>
        </is>
      </c>
      <c r="G138" t="inlineStr">
        <is>
          <t>OSBY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46306</v>
      </c>
      <c r="F139" t="inlineStr">
        <is>
          <t>SKÅNE LÄN</t>
        </is>
      </c>
      <c r="G139" t="inlineStr">
        <is>
          <t>OSBY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44826</v>
      </c>
      <c r="E140" s="1" t="n">
        <v>46306</v>
      </c>
      <c r="F140" t="inlineStr">
        <is>
          <t>SKÅNE LÄN</t>
        </is>
      </c>
      <c r="G140" t="inlineStr">
        <is>
          <t>OSBY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46306</v>
      </c>
      <c r="F141" t="inlineStr">
        <is>
          <t>SKÅNE LÄN</t>
        </is>
      </c>
      <c r="G141" t="inlineStr">
        <is>
          <t>OSBY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45360</v>
      </c>
      <c r="E142" s="1" t="n">
        <v>46306</v>
      </c>
      <c r="F142" t="inlineStr">
        <is>
          <t>SKÅNE LÄN</t>
        </is>
      </c>
      <c r="G142" t="inlineStr">
        <is>
          <t>OSBY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45683</v>
      </c>
      <c r="E143" s="1" t="n">
        <v>46306</v>
      </c>
      <c r="F143" t="inlineStr">
        <is>
          <t>SKÅNE LÄN</t>
        </is>
      </c>
      <c r="G143" t="inlineStr">
        <is>
          <t>OSBY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45141</v>
      </c>
      <c r="E144" s="1" t="n">
        <v>46306</v>
      </c>
      <c r="F144" t="inlineStr">
        <is>
          <t>SKÅNE LÄN</t>
        </is>
      </c>
      <c r="G144" t="inlineStr">
        <is>
          <t>OSBY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46306</v>
      </c>
      <c r="F145" t="inlineStr">
        <is>
          <t>SKÅNE LÄN</t>
        </is>
      </c>
      <c r="G145" t="inlineStr">
        <is>
          <t>OSBY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45723</v>
      </c>
      <c r="E146" s="1" t="n">
        <v>46306</v>
      </c>
      <c r="F146" t="inlineStr">
        <is>
          <t>SKÅNE LÄN</t>
        </is>
      </c>
      <c r="G146" t="inlineStr">
        <is>
          <t>OSBY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44823</v>
      </c>
      <c r="E147" s="1" t="n">
        <v>46306</v>
      </c>
      <c r="F147" t="inlineStr">
        <is>
          <t>SKÅNE LÄN</t>
        </is>
      </c>
      <c r="G147" t="inlineStr">
        <is>
          <t>OSBY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56877-2021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44481</v>
      </c>
      <c r="E148" s="1" t="n">
        <v>46306</v>
      </c>
      <c r="F148" t="inlineStr">
        <is>
          <t>SKÅNE LÄN</t>
        </is>
      </c>
      <c r="G148" t="inlineStr">
        <is>
          <t>OSBY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46306</v>
      </c>
      <c r="F149" t="inlineStr">
        <is>
          <t>SKÅNE LÄN</t>
        </is>
      </c>
      <c r="G149" t="inlineStr">
        <is>
          <t>OSBY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45447</v>
      </c>
      <c r="E150" s="1" t="n">
        <v>46306</v>
      </c>
      <c r="F150" t="inlineStr">
        <is>
          <t>SKÅNE LÄN</t>
        </is>
      </c>
      <c r="G150" t="inlineStr">
        <is>
          <t>OSBY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45353</v>
      </c>
      <c r="E151" s="1" t="n">
        <v>46306</v>
      </c>
      <c r="F151" t="inlineStr">
        <is>
          <t>SKÅNE LÄN</t>
        </is>
      </c>
      <c r="G151" t="inlineStr">
        <is>
          <t>OSBY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46306</v>
      </c>
      <c r="F152" t="inlineStr">
        <is>
          <t>SKÅNE LÄN</t>
        </is>
      </c>
      <c r="G152" t="inlineStr">
        <is>
          <t>OSBY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46306</v>
      </c>
      <c r="F153" t="inlineStr">
        <is>
          <t>SKÅNE LÄN</t>
        </is>
      </c>
      <c r="G153" t="inlineStr">
        <is>
          <t>OSBY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52857-2022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44872</v>
      </c>
      <c r="E154" s="1" t="n">
        <v>46306</v>
      </c>
      <c r="F154" t="inlineStr">
        <is>
          <t>SKÅNE LÄN</t>
        </is>
      </c>
      <c r="G154" t="inlineStr">
        <is>
          <t>OSBY</t>
        </is>
      </c>
      <c r="H154" t="inlineStr">
        <is>
          <t>Sveaskog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46306</v>
      </c>
      <c r="F155" t="inlineStr">
        <is>
          <t>SKÅNE LÄN</t>
        </is>
      </c>
      <c r="G155" t="inlineStr">
        <is>
          <t>OSBY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44921</v>
      </c>
      <c r="E156" s="1" t="n">
        <v>46306</v>
      </c>
      <c r="F156" t="inlineStr">
        <is>
          <t>SKÅNE LÄN</t>
        </is>
      </c>
      <c r="G156" t="inlineStr">
        <is>
          <t>OSBY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46306</v>
      </c>
      <c r="F157" t="inlineStr">
        <is>
          <t>SKÅNE LÄN</t>
        </is>
      </c>
      <c r="G157" t="inlineStr">
        <is>
          <t>OSBY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46306</v>
      </c>
      <c r="F158" t="inlineStr">
        <is>
          <t>SKÅNE LÄN</t>
        </is>
      </c>
      <c r="G158" t="inlineStr">
        <is>
          <t>OSBY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74033-2021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46306</v>
      </c>
      <c r="F159" t="inlineStr">
        <is>
          <t>SKÅNE LÄN</t>
        </is>
      </c>
      <c r="G159" t="inlineStr">
        <is>
          <t>OSBY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74050-2021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44557</v>
      </c>
      <c r="E160" s="1" t="n">
        <v>46306</v>
      </c>
      <c r="F160" t="inlineStr">
        <is>
          <t>SKÅNE LÄN</t>
        </is>
      </c>
      <c r="G160" t="inlineStr">
        <is>
          <t>OSBY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45537</v>
      </c>
      <c r="E161" s="1" t="n">
        <v>46306</v>
      </c>
      <c r="F161" t="inlineStr">
        <is>
          <t>SKÅNE LÄN</t>
        </is>
      </c>
      <c r="G161" t="inlineStr">
        <is>
          <t>OSBY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62425-2023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45268</v>
      </c>
      <c r="E162" s="1" t="n">
        <v>46306</v>
      </c>
      <c r="F162" t="inlineStr">
        <is>
          <t>SKÅNE LÄN</t>
        </is>
      </c>
      <c r="G162" t="inlineStr">
        <is>
          <t>OSBY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55389-2023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45238</v>
      </c>
      <c r="E163" s="1" t="n">
        <v>46306</v>
      </c>
      <c r="F163" t="inlineStr">
        <is>
          <t>SKÅNE LÄN</t>
        </is>
      </c>
      <c r="G163" t="inlineStr">
        <is>
          <t>OSBY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46306</v>
      </c>
      <c r="F164" t="inlineStr">
        <is>
          <t>SKÅNE LÄN</t>
        </is>
      </c>
      <c r="G164" t="inlineStr">
        <is>
          <t>OSBY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46306</v>
      </c>
      <c r="F165" t="inlineStr">
        <is>
          <t>SKÅNE LÄN</t>
        </is>
      </c>
      <c r="G165" t="inlineStr">
        <is>
          <t>OSBY</t>
        </is>
      </c>
      <c r="H165" t="inlineStr">
        <is>
          <t>Naturvårdsverket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45082</v>
      </c>
      <c r="E166" s="1" t="n">
        <v>46306</v>
      </c>
      <c r="F166" t="inlineStr">
        <is>
          <t>SKÅNE LÄN</t>
        </is>
      </c>
      <c r="G166" t="inlineStr">
        <is>
          <t>OSBY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46306</v>
      </c>
      <c r="F167" t="inlineStr">
        <is>
          <t>SKÅNE LÄN</t>
        </is>
      </c>
      <c r="G167" t="inlineStr">
        <is>
          <t>OSBY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45141</v>
      </c>
      <c r="E168" s="1" t="n">
        <v>46306</v>
      </c>
      <c r="F168" t="inlineStr">
        <is>
          <t>SKÅNE LÄN</t>
        </is>
      </c>
      <c r="G168" t="inlineStr">
        <is>
          <t>OSBY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46306</v>
      </c>
      <c r="F169" t="inlineStr">
        <is>
          <t>SKÅNE LÄN</t>
        </is>
      </c>
      <c r="G169" t="inlineStr">
        <is>
          <t>OSBY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46306</v>
      </c>
      <c r="F170" t="inlineStr">
        <is>
          <t>SKÅNE LÄN</t>
        </is>
      </c>
      <c r="G170" t="inlineStr">
        <is>
          <t>OSBY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45471</v>
      </c>
      <c r="E171" s="1" t="n">
        <v>46306</v>
      </c>
      <c r="F171" t="inlineStr">
        <is>
          <t>SKÅNE LÄN</t>
        </is>
      </c>
      <c r="G171" t="inlineStr">
        <is>
          <t>OSBY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45628</v>
      </c>
      <c r="E172" s="1" t="n">
        <v>46306</v>
      </c>
      <c r="F172" t="inlineStr">
        <is>
          <t>SKÅNE LÄN</t>
        </is>
      </c>
      <c r="G172" t="inlineStr">
        <is>
          <t>OSBY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45648</v>
      </c>
      <c r="E173" s="1" t="n">
        <v>46306</v>
      </c>
      <c r="F173" t="inlineStr">
        <is>
          <t>SKÅNE LÄN</t>
        </is>
      </c>
      <c r="G173" t="inlineStr">
        <is>
          <t>OSBY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44949</v>
      </c>
      <c r="E174" s="1" t="n">
        <v>46306</v>
      </c>
      <c r="F174" t="inlineStr">
        <is>
          <t>SKÅNE LÄN</t>
        </is>
      </c>
      <c r="G174" t="inlineStr">
        <is>
          <t>OSBY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44895</v>
      </c>
      <c r="E175" s="1" t="n">
        <v>46306</v>
      </c>
      <c r="F175" t="inlineStr">
        <is>
          <t>SKÅNE LÄN</t>
        </is>
      </c>
      <c r="G175" t="inlineStr">
        <is>
          <t>OSBY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46306</v>
      </c>
      <c r="F176" t="inlineStr">
        <is>
          <t>SKÅNE LÄN</t>
        </is>
      </c>
      <c r="G176" t="inlineStr">
        <is>
          <t>OSBY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46306</v>
      </c>
      <c r="F177" t="inlineStr">
        <is>
          <t>SKÅNE LÄN</t>
        </is>
      </c>
      <c r="G177" t="inlineStr">
        <is>
          <t>OSBY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45019</v>
      </c>
      <c r="E178" s="1" t="n">
        <v>46306</v>
      </c>
      <c r="F178" t="inlineStr">
        <is>
          <t>SKÅNE LÄN</t>
        </is>
      </c>
      <c r="G178" t="inlineStr">
        <is>
          <t>OSBY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46306</v>
      </c>
      <c r="F179" t="inlineStr">
        <is>
          <t>SKÅNE LÄN</t>
        </is>
      </c>
      <c r="G179" t="inlineStr">
        <is>
          <t>OSBY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46306</v>
      </c>
      <c r="F180" t="inlineStr">
        <is>
          <t>SKÅNE LÄN</t>
        </is>
      </c>
      <c r="G180" t="inlineStr">
        <is>
          <t>OSBY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46306</v>
      </c>
      <c r="F181" t="inlineStr">
        <is>
          <t>SKÅNE LÄN</t>
        </is>
      </c>
      <c r="G181" t="inlineStr">
        <is>
          <t>OSBY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66984-2021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44522</v>
      </c>
      <c r="E182" s="1" t="n">
        <v>46306</v>
      </c>
      <c r="F182" t="inlineStr">
        <is>
          <t>SKÅNE LÄN</t>
        </is>
      </c>
      <c r="G182" t="inlineStr">
        <is>
          <t>OSBY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46306</v>
      </c>
      <c r="F183" t="inlineStr">
        <is>
          <t>SKÅNE LÄN</t>
        </is>
      </c>
      <c r="G183" t="inlineStr">
        <is>
          <t>OSBY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46306</v>
      </c>
      <c r="F184" t="inlineStr">
        <is>
          <t>SKÅNE LÄN</t>
        </is>
      </c>
      <c r="G184" t="inlineStr">
        <is>
          <t>OSBY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45154</v>
      </c>
      <c r="E185" s="1" t="n">
        <v>46306</v>
      </c>
      <c r="F185" t="inlineStr">
        <is>
          <t>SKÅNE LÄN</t>
        </is>
      </c>
      <c r="G185" t="inlineStr">
        <is>
          <t>OSBY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45453</v>
      </c>
      <c r="E186" s="1" t="n">
        <v>46306</v>
      </c>
      <c r="F186" t="inlineStr">
        <is>
          <t>SKÅNE LÄN</t>
        </is>
      </c>
      <c r="G186" t="inlineStr">
        <is>
          <t>OSBY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45002</v>
      </c>
      <c r="E187" s="1" t="n">
        <v>46306</v>
      </c>
      <c r="F187" t="inlineStr">
        <is>
          <t>SKÅNE LÄN</t>
        </is>
      </c>
      <c r="G187" t="inlineStr">
        <is>
          <t>OSBY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44903</v>
      </c>
      <c r="E188" s="1" t="n">
        <v>46306</v>
      </c>
      <c r="F188" t="inlineStr">
        <is>
          <t>SKÅNE LÄN</t>
        </is>
      </c>
      <c r="G188" t="inlineStr">
        <is>
          <t>OSBY</t>
        </is>
      </c>
      <c r="H188" t="inlineStr">
        <is>
          <t>Kommuner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46306</v>
      </c>
      <c r="F189" t="inlineStr">
        <is>
          <t>SKÅNE LÄN</t>
        </is>
      </c>
      <c r="G189" t="inlineStr">
        <is>
          <t>OSBY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44957</v>
      </c>
      <c r="E190" s="1" t="n">
        <v>46306</v>
      </c>
      <c r="F190" t="inlineStr">
        <is>
          <t>SKÅNE LÄN</t>
        </is>
      </c>
      <c r="G190" t="inlineStr">
        <is>
          <t>OSBY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46306</v>
      </c>
      <c r="F191" t="inlineStr">
        <is>
          <t>SKÅNE LÄN</t>
        </is>
      </c>
      <c r="G191" t="inlineStr">
        <is>
          <t>OSBY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45078</v>
      </c>
      <c r="E192" s="1" t="n">
        <v>46306</v>
      </c>
      <c r="F192" t="inlineStr">
        <is>
          <t>SKÅNE LÄN</t>
        </is>
      </c>
      <c r="G192" t="inlineStr">
        <is>
          <t>OSBY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46306</v>
      </c>
      <c r="F193" t="inlineStr">
        <is>
          <t>SKÅNE LÄN</t>
        </is>
      </c>
      <c r="G193" t="inlineStr">
        <is>
          <t>OSBY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45062</v>
      </c>
      <c r="E194" s="1" t="n">
        <v>46306</v>
      </c>
      <c r="F194" t="inlineStr">
        <is>
          <t>SKÅNE LÄN</t>
        </is>
      </c>
      <c r="G194" t="inlineStr">
        <is>
          <t>OSBY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46306</v>
      </c>
      <c r="F195" t="inlineStr">
        <is>
          <t>SKÅNE LÄN</t>
        </is>
      </c>
      <c r="G195" t="inlineStr">
        <is>
          <t>OSBY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45323</v>
      </c>
      <c r="E196" s="1" t="n">
        <v>46306</v>
      </c>
      <c r="F196" t="inlineStr">
        <is>
          <t>SKÅNE LÄN</t>
        </is>
      </c>
      <c r="G196" t="inlineStr">
        <is>
          <t>OSBY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74016-2021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44557</v>
      </c>
      <c r="E197" s="1" t="n">
        <v>46306</v>
      </c>
      <c r="F197" t="inlineStr">
        <is>
          <t>SKÅNE LÄN</t>
        </is>
      </c>
      <c r="G197" t="inlineStr">
        <is>
          <t>OSBY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44921</v>
      </c>
      <c r="E198" s="1" t="n">
        <v>46306</v>
      </c>
      <c r="F198" t="inlineStr">
        <is>
          <t>SKÅNE LÄN</t>
        </is>
      </c>
      <c r="G198" t="inlineStr">
        <is>
          <t>OSBY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46306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46306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45540</v>
      </c>
      <c r="E201" s="1" t="n">
        <v>46306</v>
      </c>
      <c r="F201" t="inlineStr">
        <is>
          <t>SKÅNE LÄN</t>
        </is>
      </c>
      <c r="G201" t="inlineStr">
        <is>
          <t>OSBY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46306</v>
      </c>
      <c r="F202" t="inlineStr">
        <is>
          <t>SKÅNE LÄN</t>
        </is>
      </c>
      <c r="G202" t="inlineStr">
        <is>
          <t>OSBY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46306</v>
      </c>
      <c r="F203" t="inlineStr">
        <is>
          <t>SKÅNE LÄN</t>
        </is>
      </c>
      <c r="G203" t="inlineStr">
        <is>
          <t>OSBY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46306</v>
      </c>
      <c r="F204" t="inlineStr">
        <is>
          <t>SKÅNE LÄN</t>
        </is>
      </c>
      <c r="G204" t="inlineStr">
        <is>
          <t>OSBY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45902</v>
      </c>
      <c r="E205" s="1" t="n">
        <v>46306</v>
      </c>
      <c r="F205" t="inlineStr">
        <is>
          <t>SKÅNE LÄN</t>
        </is>
      </c>
      <c r="G205" t="inlineStr">
        <is>
          <t>OSBY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46306</v>
      </c>
      <c r="F206" t="inlineStr">
        <is>
          <t>SKÅNE LÄN</t>
        </is>
      </c>
      <c r="G206" t="inlineStr">
        <is>
          <t>OSBY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31639-2024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45506</v>
      </c>
      <c r="E207" s="1" t="n">
        <v>46306</v>
      </c>
      <c r="F207" t="inlineStr">
        <is>
          <t>SKÅNE LÄN</t>
        </is>
      </c>
      <c r="G207" t="inlineStr">
        <is>
          <t>OSBY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64469-2021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44511</v>
      </c>
      <c r="E208" s="1" t="n">
        <v>46306</v>
      </c>
      <c r="F208" t="inlineStr">
        <is>
          <t>SKÅNE LÄN</t>
        </is>
      </c>
      <c r="G208" t="inlineStr">
        <is>
          <t>OSBY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46306</v>
      </c>
      <c r="F209" t="inlineStr">
        <is>
          <t>SKÅNE LÄN</t>
        </is>
      </c>
      <c r="G209" t="inlineStr">
        <is>
          <t>OSBY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46306</v>
      </c>
      <c r="F210" t="inlineStr">
        <is>
          <t>SKÅNE LÄN</t>
        </is>
      </c>
      <c r="G210" t="inlineStr">
        <is>
          <t>OSBY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68592-2021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46306</v>
      </c>
      <c r="F211" t="inlineStr">
        <is>
          <t>SKÅNE LÄN</t>
        </is>
      </c>
      <c r="G211" t="inlineStr">
        <is>
          <t>OSBY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46306</v>
      </c>
      <c r="F212" t="inlineStr">
        <is>
          <t>SKÅNE LÄN</t>
        </is>
      </c>
      <c r="G212" t="inlineStr">
        <is>
          <t>OSBY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44610</v>
      </c>
      <c r="E213" s="1" t="n">
        <v>46306</v>
      </c>
      <c r="F213" t="inlineStr">
        <is>
          <t>SKÅNE LÄN</t>
        </is>
      </c>
      <c r="G213" t="inlineStr">
        <is>
          <t>OSBY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46306</v>
      </c>
      <c r="F214" t="inlineStr">
        <is>
          <t>SKÅNE LÄN</t>
        </is>
      </c>
      <c r="G214" t="inlineStr">
        <is>
          <t>OSBY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45096</v>
      </c>
      <c r="E215" s="1" t="n">
        <v>46306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46306</v>
      </c>
      <c r="F216" t="inlineStr">
        <is>
          <t>SKÅNE LÄN</t>
        </is>
      </c>
      <c r="G216" t="inlineStr">
        <is>
          <t>OSBY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45630</v>
      </c>
      <c r="E217" s="1" t="n">
        <v>46306</v>
      </c>
      <c r="F217" t="inlineStr">
        <is>
          <t>SKÅNE LÄN</t>
        </is>
      </c>
      <c r="G217" t="inlineStr">
        <is>
          <t>OSBY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46306</v>
      </c>
      <c r="F218" t="inlineStr">
        <is>
          <t>SKÅNE LÄN</t>
        </is>
      </c>
      <c r="G218" t="inlineStr">
        <is>
          <t>OSBY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46306</v>
      </c>
      <c r="F219" t="inlineStr">
        <is>
          <t>SKÅNE LÄN</t>
        </is>
      </c>
      <c r="G219" t="inlineStr">
        <is>
          <t>OSBY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46306</v>
      </c>
      <c r="F220" t="inlineStr">
        <is>
          <t>SKÅNE LÄN</t>
        </is>
      </c>
      <c r="G220" t="inlineStr">
        <is>
          <t>OSBY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46306</v>
      </c>
      <c r="F221" t="inlineStr">
        <is>
          <t>SKÅNE LÄN</t>
        </is>
      </c>
      <c r="G221" t="inlineStr">
        <is>
          <t>OSBY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46306</v>
      </c>
      <c r="F222" t="inlineStr">
        <is>
          <t>SKÅNE LÄN</t>
        </is>
      </c>
      <c r="G222" t="inlineStr">
        <is>
          <t>OSBY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45777</v>
      </c>
      <c r="E223" s="1" t="n">
        <v>46306</v>
      </c>
      <c r="F223" t="inlineStr">
        <is>
          <t>SKÅNE LÄN</t>
        </is>
      </c>
      <c r="G223" t="inlineStr">
        <is>
          <t>OSBY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46306</v>
      </c>
      <c r="F224" t="inlineStr">
        <is>
          <t>SKÅNE LÄN</t>
        </is>
      </c>
      <c r="G224" t="inlineStr">
        <is>
          <t>OSBY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46306</v>
      </c>
      <c r="F225" t="inlineStr">
        <is>
          <t>SKÅNE LÄN</t>
        </is>
      </c>
      <c r="G225" t="inlineStr">
        <is>
          <t>OSBY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46306</v>
      </c>
      <c r="F226" t="inlineStr">
        <is>
          <t>SKÅNE LÄN</t>
        </is>
      </c>
      <c r="G226" t="inlineStr">
        <is>
          <t>OSBY</t>
        </is>
      </c>
      <c r="I226" t="n">
        <v>15.1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46306</v>
      </c>
      <c r="F227" t="inlineStr">
        <is>
          <t>SKÅNE LÄN</t>
        </is>
      </c>
      <c r="G227" t="inlineStr">
        <is>
          <t>OSBY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46306</v>
      </c>
      <c r="F228" t="inlineStr">
        <is>
          <t>SKÅNE LÄN</t>
        </is>
      </c>
      <c r="G228" t="inlineStr">
        <is>
          <t>OSBY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46306</v>
      </c>
      <c r="F229" t="inlineStr">
        <is>
          <t>SKÅNE LÄN</t>
        </is>
      </c>
      <c r="G229" t="inlineStr">
        <is>
          <t>OSBY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45362</v>
      </c>
      <c r="E230" s="1" t="n">
        <v>46306</v>
      </c>
      <c r="F230" t="inlineStr">
        <is>
          <t>SKÅNE LÄN</t>
        </is>
      </c>
      <c r="G230" t="inlineStr">
        <is>
          <t>OSBY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45141</v>
      </c>
      <c r="E231" s="1" t="n">
        <v>46306</v>
      </c>
      <c r="F231" t="inlineStr">
        <is>
          <t>SKÅNE LÄN</t>
        </is>
      </c>
      <c r="G231" t="inlineStr">
        <is>
          <t>OSBY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45175</v>
      </c>
      <c r="E232" s="1" t="n">
        <v>46306</v>
      </c>
      <c r="F232" t="inlineStr">
        <is>
          <t>SKÅNE LÄN</t>
        </is>
      </c>
      <c r="G232" t="inlineStr">
        <is>
          <t>OSBY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44902</v>
      </c>
      <c r="E233" s="1" t="n">
        <v>46306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45656</v>
      </c>
      <c r="E234" s="1" t="n">
        <v>46306</v>
      </c>
      <c r="F234" t="inlineStr">
        <is>
          <t>SKÅNE LÄN</t>
        </is>
      </c>
      <c r="G234" t="inlineStr">
        <is>
          <t>OSBY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46306</v>
      </c>
      <c r="F235" t="inlineStr">
        <is>
          <t>SKÅNE LÄN</t>
        </is>
      </c>
      <c r="G235" t="inlineStr">
        <is>
          <t>OSBY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46306</v>
      </c>
      <c r="F236" t="inlineStr">
        <is>
          <t>SKÅNE LÄN</t>
        </is>
      </c>
      <c r="G236" t="inlineStr">
        <is>
          <t>OSBY</t>
        </is>
      </c>
      <c r="H236" t="inlineStr">
        <is>
          <t>Naturvårdsverket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46306</v>
      </c>
      <c r="F237" t="inlineStr">
        <is>
          <t>SKÅNE LÄN</t>
        </is>
      </c>
      <c r="G237" t="inlineStr">
        <is>
          <t>OSBY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45643</v>
      </c>
      <c r="E238" s="1" t="n">
        <v>46306</v>
      </c>
      <c r="F238" t="inlineStr">
        <is>
          <t>SKÅNE LÄN</t>
        </is>
      </c>
      <c r="G238" t="inlineStr">
        <is>
          <t>OSBY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46306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10673-2025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45721</v>
      </c>
      <c r="E240" s="1" t="n">
        <v>46306</v>
      </c>
      <c r="F240" t="inlineStr">
        <is>
          <t>SKÅNE LÄN</t>
        </is>
      </c>
      <c r="G240" t="inlineStr">
        <is>
          <t>OSBY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45177</v>
      </c>
      <c r="E241" s="1" t="n">
        <v>46306</v>
      </c>
      <c r="F241" t="inlineStr">
        <is>
          <t>SKÅNE LÄN</t>
        </is>
      </c>
      <c r="G241" t="inlineStr">
        <is>
          <t>OSBY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15234-2025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45744</v>
      </c>
      <c r="E242" s="1" t="n">
        <v>46306</v>
      </c>
      <c r="F242" t="inlineStr">
        <is>
          <t>SKÅNE LÄN</t>
        </is>
      </c>
      <c r="G242" t="inlineStr">
        <is>
          <t>OSBY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69093-2021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44530</v>
      </c>
      <c r="E243" s="1" t="n">
        <v>46306</v>
      </c>
      <c r="F243" t="inlineStr">
        <is>
          <t>SKÅNE LÄN</t>
        </is>
      </c>
      <c r="G243" t="inlineStr">
        <is>
          <t>OSBY</t>
        </is>
      </c>
      <c r="H243" t="inlineStr">
        <is>
          <t>Kommuner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45506</v>
      </c>
      <c r="E244" s="1" t="n">
        <v>46306</v>
      </c>
      <c r="F244" t="inlineStr">
        <is>
          <t>SKÅNE LÄN</t>
        </is>
      </c>
      <c r="G244" t="inlineStr">
        <is>
          <t>OSBY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44904</v>
      </c>
      <c r="E245" s="1" t="n">
        <v>46306</v>
      </c>
      <c r="F245" t="inlineStr">
        <is>
          <t>SKÅNE LÄN</t>
        </is>
      </c>
      <c r="G245" t="inlineStr">
        <is>
          <t>OSBY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14307-2023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45011</v>
      </c>
      <c r="E246" s="1" t="n">
        <v>46306</v>
      </c>
      <c r="F246" t="inlineStr">
        <is>
          <t>SKÅNE LÄN</t>
        </is>
      </c>
      <c r="G246" t="inlineStr">
        <is>
          <t>OSBY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46306</v>
      </c>
      <c r="F247" t="inlineStr">
        <is>
          <t>SKÅNE LÄN</t>
        </is>
      </c>
      <c r="G247" t="inlineStr">
        <is>
          <t>OSBY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45471</v>
      </c>
      <c r="E248" s="1" t="n">
        <v>46306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46306</v>
      </c>
      <c r="F249" t="inlineStr">
        <is>
          <t>SKÅNE LÄN</t>
        </is>
      </c>
      <c r="G249" t="inlineStr">
        <is>
          <t>OSBY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44881</v>
      </c>
      <c r="E250" s="1" t="n">
        <v>46306</v>
      </c>
      <c r="F250" t="inlineStr">
        <is>
          <t>SKÅNE LÄN</t>
        </is>
      </c>
      <c r="G250" t="inlineStr">
        <is>
          <t>OSBY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44585</v>
      </c>
      <c r="E251" s="1" t="n">
        <v>46306</v>
      </c>
      <c r="F251" t="inlineStr">
        <is>
          <t>SKÅNE LÄN</t>
        </is>
      </c>
      <c r="G251" t="inlineStr">
        <is>
          <t>OSBY</t>
        </is>
      </c>
      <c r="H251" t="inlineStr">
        <is>
          <t>Sveaskog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45534</v>
      </c>
      <c r="E252" s="1" t="n">
        <v>46306</v>
      </c>
      <c r="F252" t="inlineStr">
        <is>
          <t>SKÅNE LÄN</t>
        </is>
      </c>
      <c r="G252" t="inlineStr">
        <is>
          <t>OSBY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46306</v>
      </c>
      <c r="F253" t="inlineStr">
        <is>
          <t>SKÅNE LÄN</t>
        </is>
      </c>
      <c r="G253" t="inlineStr">
        <is>
          <t>OSBY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46306</v>
      </c>
      <c r="F254" t="inlineStr">
        <is>
          <t>SKÅNE LÄN</t>
        </is>
      </c>
      <c r="G254" t="inlineStr">
        <is>
          <t>OSBY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46306</v>
      </c>
      <c r="F255" t="inlineStr">
        <is>
          <t>SKÅNE LÄN</t>
        </is>
      </c>
      <c r="G255" t="inlineStr">
        <is>
          <t>OSBY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45572</v>
      </c>
      <c r="E256" s="1" t="n">
        <v>46306</v>
      </c>
      <c r="F256" t="inlineStr">
        <is>
          <t>SKÅNE LÄN</t>
        </is>
      </c>
      <c r="G256" t="inlineStr">
        <is>
          <t>OSBY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45217</v>
      </c>
      <c r="E257" s="1" t="n">
        <v>46306</v>
      </c>
      <c r="F257" t="inlineStr">
        <is>
          <t>SKÅNE LÄN</t>
        </is>
      </c>
      <c r="G257" t="inlineStr">
        <is>
          <t>OSBY</t>
        </is>
      </c>
      <c r="H257" t="inlineStr">
        <is>
          <t>Kommuner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45035</v>
      </c>
      <c r="E258" s="1" t="n">
        <v>46306</v>
      </c>
      <c r="F258" t="inlineStr">
        <is>
          <t>SKÅNE LÄN</t>
        </is>
      </c>
      <c r="G258" t="inlineStr">
        <is>
          <t>OSBY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45708</v>
      </c>
      <c r="E259" s="1" t="n">
        <v>46306</v>
      </c>
      <c r="F259" t="inlineStr">
        <is>
          <t>SKÅNE LÄN</t>
        </is>
      </c>
      <c r="G259" t="inlineStr">
        <is>
          <t>OSBY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47334-2025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46306</v>
      </c>
      <c r="F260" t="inlineStr">
        <is>
          <t>SKÅNE LÄN</t>
        </is>
      </c>
      <c r="G260" t="inlineStr">
        <is>
          <t>OSBY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10775-2024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45369</v>
      </c>
      <c r="E261" s="1" t="n">
        <v>46306</v>
      </c>
      <c r="F261" t="inlineStr">
        <is>
          <t>SKÅNE LÄN</t>
        </is>
      </c>
      <c r="G261" t="inlineStr">
        <is>
          <t>OSBY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44832</v>
      </c>
      <c r="E262" s="1" t="n">
        <v>46306</v>
      </c>
      <c r="F262" t="inlineStr">
        <is>
          <t>SKÅNE LÄN</t>
        </is>
      </c>
      <c r="G262" t="inlineStr">
        <is>
          <t>OSBY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45737</v>
      </c>
      <c r="E263" s="1" t="n">
        <v>46306</v>
      </c>
      <c r="F263" t="inlineStr">
        <is>
          <t>SKÅNE LÄN</t>
        </is>
      </c>
      <c r="G263" t="inlineStr">
        <is>
          <t>OSBY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45197</v>
      </c>
      <c r="E264" s="1" t="n">
        <v>46306</v>
      </c>
      <c r="F264" t="inlineStr">
        <is>
          <t>SKÅNE LÄN</t>
        </is>
      </c>
      <c r="G264" t="inlineStr">
        <is>
          <t>OSBY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44644</v>
      </c>
      <c r="E265" s="1" t="n">
        <v>46306</v>
      </c>
      <c r="F265" t="inlineStr">
        <is>
          <t>SKÅNE LÄN</t>
        </is>
      </c>
      <c r="G265" t="inlineStr">
        <is>
          <t>OSBY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45722</v>
      </c>
      <c r="E266" s="1" t="n">
        <v>46306</v>
      </c>
      <c r="F266" t="inlineStr">
        <is>
          <t>SKÅNE LÄN</t>
        </is>
      </c>
      <c r="G266" t="inlineStr">
        <is>
          <t>OSBY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44827</v>
      </c>
      <c r="E267" s="1" t="n">
        <v>46306</v>
      </c>
      <c r="F267" t="inlineStr">
        <is>
          <t>SKÅNE LÄN</t>
        </is>
      </c>
      <c r="G267" t="inlineStr">
        <is>
          <t>OSBY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46306</v>
      </c>
      <c r="F268" t="inlineStr">
        <is>
          <t>SKÅNE LÄN</t>
        </is>
      </c>
      <c r="G268" t="inlineStr">
        <is>
          <t>OSBY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46306</v>
      </c>
      <c r="F269" t="inlineStr">
        <is>
          <t>SKÅNE LÄN</t>
        </is>
      </c>
      <c r="G269" t="inlineStr">
        <is>
          <t>OSBY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67613-2021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44524</v>
      </c>
      <c r="E270" s="1" t="n">
        <v>46306</v>
      </c>
      <c r="F270" t="inlineStr">
        <is>
          <t>SKÅNE LÄN</t>
        </is>
      </c>
      <c r="G270" t="inlineStr">
        <is>
          <t>OSBY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67616-2021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44524</v>
      </c>
      <c r="E271" s="1" t="n">
        <v>46306</v>
      </c>
      <c r="F271" t="inlineStr">
        <is>
          <t>SKÅNE LÄN</t>
        </is>
      </c>
      <c r="G271" t="inlineStr">
        <is>
          <t>OSBY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46306</v>
      </c>
      <c r="F272" t="inlineStr">
        <is>
          <t>SKÅNE LÄN</t>
        </is>
      </c>
      <c r="G272" t="inlineStr">
        <is>
          <t>OSBY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59252-2022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44904</v>
      </c>
      <c r="E273" s="1" t="n">
        <v>46306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45708</v>
      </c>
      <c r="E274" s="1" t="n">
        <v>46306</v>
      </c>
      <c r="F274" t="inlineStr">
        <is>
          <t>SKÅNE LÄN</t>
        </is>
      </c>
      <c r="G274" t="inlineStr">
        <is>
          <t>OSBY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46306</v>
      </c>
      <c r="F275" t="inlineStr">
        <is>
          <t>SKÅNE LÄN</t>
        </is>
      </c>
      <c r="G275" t="inlineStr">
        <is>
          <t>OSBY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44740</v>
      </c>
      <c r="E276" s="1" t="n">
        <v>46306</v>
      </c>
      <c r="F276" t="inlineStr">
        <is>
          <t>SKÅNE LÄN</t>
        </is>
      </c>
      <c r="G276" t="inlineStr">
        <is>
          <t>OSBY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44658</v>
      </c>
      <c r="E277" s="1" t="n">
        <v>46306</v>
      </c>
      <c r="F277" t="inlineStr">
        <is>
          <t>SKÅNE LÄN</t>
        </is>
      </c>
      <c r="G277" t="inlineStr">
        <is>
          <t>OSBY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20813-2023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45055</v>
      </c>
      <c r="E278" s="1" t="n">
        <v>46306</v>
      </c>
      <c r="F278" t="inlineStr">
        <is>
          <t>SKÅNE LÄN</t>
        </is>
      </c>
      <c r="G278" t="inlineStr">
        <is>
          <t>OSBY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45390</v>
      </c>
      <c r="E279" s="1" t="n">
        <v>46306</v>
      </c>
      <c r="F279" t="inlineStr">
        <is>
          <t>SKÅNE LÄN</t>
        </is>
      </c>
      <c r="G279" t="inlineStr">
        <is>
          <t>OSBY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45390</v>
      </c>
      <c r="E280" s="1" t="n">
        <v>46306</v>
      </c>
      <c r="F280" t="inlineStr">
        <is>
          <t>SKÅNE LÄN</t>
        </is>
      </c>
      <c r="G280" t="inlineStr">
        <is>
          <t>OSBY</t>
        </is>
      </c>
      <c r="H280" t="inlineStr">
        <is>
          <t>Sveaskog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44610</v>
      </c>
      <c r="E281" s="1" t="n">
        <v>46306</v>
      </c>
      <c r="F281" t="inlineStr">
        <is>
          <t>SKÅNE LÄN</t>
        </is>
      </c>
      <c r="G281" t="inlineStr">
        <is>
          <t>OSBY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45568</v>
      </c>
      <c r="E282" s="1" t="n">
        <v>46306</v>
      </c>
      <c r="F282" t="inlineStr">
        <is>
          <t>SKÅNE LÄN</t>
        </is>
      </c>
      <c r="G282" t="inlineStr">
        <is>
          <t>OSBY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46306</v>
      </c>
      <c r="F283" t="inlineStr">
        <is>
          <t>SKÅNE LÄN</t>
        </is>
      </c>
      <c r="G283" t="inlineStr">
        <is>
          <t>OSBY</t>
        </is>
      </c>
      <c r="H283" t="inlineStr">
        <is>
          <t>Kommuner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45364</v>
      </c>
      <c r="E284" s="1" t="n">
        <v>46306</v>
      </c>
      <c r="F284" t="inlineStr">
        <is>
          <t>SKÅNE LÄN</t>
        </is>
      </c>
      <c r="G284" t="inlineStr">
        <is>
          <t>OSBY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46246-2023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46306</v>
      </c>
      <c r="F285" t="inlineStr">
        <is>
          <t>SKÅNE LÄN</t>
        </is>
      </c>
      <c r="G285" t="inlineStr">
        <is>
          <t>OSBY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46306</v>
      </c>
      <c r="F286" t="inlineStr">
        <is>
          <t>SKÅNE LÄN</t>
        </is>
      </c>
      <c r="G286" t="inlineStr">
        <is>
          <t>OSBY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46306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45588</v>
      </c>
      <c r="E288" s="1" t="n">
        <v>46306</v>
      </c>
      <c r="F288" t="inlineStr">
        <is>
          <t>SKÅNE LÄN</t>
        </is>
      </c>
      <c r="G288" t="inlineStr">
        <is>
          <t>OSBY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46306</v>
      </c>
      <c r="F289" t="inlineStr">
        <is>
          <t>SKÅNE LÄN</t>
        </is>
      </c>
      <c r="G289" t="inlineStr">
        <is>
          <t>OSBY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45803</v>
      </c>
      <c r="E290" s="1" t="n">
        <v>46306</v>
      </c>
      <c r="F290" t="inlineStr">
        <is>
          <t>SKÅNE LÄN</t>
        </is>
      </c>
      <c r="G290" t="inlineStr">
        <is>
          <t>OSBY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44585</v>
      </c>
      <c r="E291" s="1" t="n">
        <v>46306</v>
      </c>
      <c r="F291" t="inlineStr">
        <is>
          <t>SKÅNE LÄN</t>
        </is>
      </c>
      <c r="G291" t="inlineStr">
        <is>
          <t>OSBY</t>
        </is>
      </c>
      <c r="H291" t="inlineStr">
        <is>
          <t>Sveaskog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46306</v>
      </c>
      <c r="F292" t="inlineStr">
        <is>
          <t>SKÅNE LÄN</t>
        </is>
      </c>
      <c r="G292" t="inlineStr">
        <is>
          <t>OSBY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45231</v>
      </c>
      <c r="E293" s="1" t="n">
        <v>46306</v>
      </c>
      <c r="F293" t="inlineStr">
        <is>
          <t>SKÅNE LÄN</t>
        </is>
      </c>
      <c r="G293" t="inlineStr">
        <is>
          <t>OSBY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45805</v>
      </c>
      <c r="E294" s="1" t="n">
        <v>46306</v>
      </c>
      <c r="F294" t="inlineStr">
        <is>
          <t>SKÅNE LÄN</t>
        </is>
      </c>
      <c r="G294" t="inlineStr">
        <is>
          <t>OSBY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46306</v>
      </c>
      <c r="F295" t="inlineStr">
        <is>
          <t>SKÅNE LÄN</t>
        </is>
      </c>
      <c r="G295" t="inlineStr">
        <is>
          <t>OSBY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15568-2022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44662</v>
      </c>
      <c r="E296" s="1" t="n">
        <v>46306</v>
      </c>
      <c r="F296" t="inlineStr">
        <is>
          <t>SKÅNE LÄN</t>
        </is>
      </c>
      <c r="G296" t="inlineStr">
        <is>
          <t>OSBY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45037</v>
      </c>
      <c r="E297" s="1" t="n">
        <v>46306</v>
      </c>
      <c r="F297" t="inlineStr">
        <is>
          <t>SKÅNE LÄN</t>
        </is>
      </c>
      <c r="G297" t="inlineStr">
        <is>
          <t>OSBY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46306</v>
      </c>
      <c r="F298" t="inlineStr">
        <is>
          <t>SKÅNE LÄN</t>
        </is>
      </c>
      <c r="G298" t="inlineStr">
        <is>
          <t>OSBY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44679</v>
      </c>
      <c r="E299" s="1" t="n">
        <v>46306</v>
      </c>
      <c r="F299" t="inlineStr">
        <is>
          <t>SKÅNE LÄN</t>
        </is>
      </c>
      <c r="G299" t="inlineStr">
        <is>
          <t>OSBY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46306</v>
      </c>
      <c r="F300" t="inlineStr">
        <is>
          <t>SKÅNE LÄN</t>
        </is>
      </c>
      <c r="G300" t="inlineStr">
        <is>
          <t>OSBY</t>
        </is>
      </c>
      <c r="H300" t="inlineStr">
        <is>
          <t>Sveaskog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45453</v>
      </c>
      <c r="E301" s="1" t="n">
        <v>46306</v>
      </c>
      <c r="F301" t="inlineStr">
        <is>
          <t>SKÅNE LÄN</t>
        </is>
      </c>
      <c r="G301" t="inlineStr">
        <is>
          <t>OSBY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25579-2024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45463</v>
      </c>
      <c r="E302" s="1" t="n">
        <v>46306</v>
      </c>
      <c r="F302" t="inlineStr">
        <is>
          <t>SKÅNE LÄN</t>
        </is>
      </c>
      <c r="G302" t="inlineStr">
        <is>
          <t>OSBY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45695</v>
      </c>
      <c r="E303" s="1" t="n">
        <v>46306</v>
      </c>
      <c r="F303" t="inlineStr">
        <is>
          <t>SKÅNE LÄN</t>
        </is>
      </c>
      <c r="G303" t="inlineStr">
        <is>
          <t>OSBY</t>
        </is>
      </c>
      <c r="I303" t="n">
        <v>19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45609</v>
      </c>
      <c r="E304" s="1" t="n">
        <v>46306</v>
      </c>
      <c r="F304" t="inlineStr">
        <is>
          <t>SKÅNE LÄN</t>
        </is>
      </c>
      <c r="G304" t="inlineStr">
        <is>
          <t>OSBY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45148</v>
      </c>
      <c r="E305" s="1" t="n">
        <v>46306</v>
      </c>
      <c r="F305" t="inlineStr">
        <is>
          <t>SKÅNE LÄN</t>
        </is>
      </c>
      <c r="G305" t="inlineStr">
        <is>
          <t>OSBY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58751-2024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45635</v>
      </c>
      <c r="E306" s="1" t="n">
        <v>46306</v>
      </c>
      <c r="F306" t="inlineStr">
        <is>
          <t>SKÅNE LÄN</t>
        </is>
      </c>
      <c r="G306" t="inlineStr">
        <is>
          <t>OSBY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15797-2022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44663</v>
      </c>
      <c r="E307" s="1" t="n">
        <v>46306</v>
      </c>
      <c r="F307" t="inlineStr">
        <is>
          <t>SKÅNE LÄN</t>
        </is>
      </c>
      <c r="G307" t="inlineStr">
        <is>
          <t>OSBY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45666</v>
      </c>
      <c r="E308" s="1" t="n">
        <v>46306</v>
      </c>
      <c r="F308" t="inlineStr">
        <is>
          <t>SKÅNE LÄN</t>
        </is>
      </c>
      <c r="G308" t="inlineStr">
        <is>
          <t>OSBY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34581-2023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46306</v>
      </c>
      <c r="F309" t="inlineStr">
        <is>
          <t>SKÅNE LÄN</t>
        </is>
      </c>
      <c r="G309" t="inlineStr">
        <is>
          <t>OSBY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46306</v>
      </c>
      <c r="F310" t="inlineStr">
        <is>
          <t>SKÅNE LÄN</t>
        </is>
      </c>
      <c r="G310" t="inlineStr">
        <is>
          <t>OSBY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45715</v>
      </c>
      <c r="E311" s="1" t="n">
        <v>46306</v>
      </c>
      <c r="F311" t="inlineStr">
        <is>
          <t>SKÅNE LÄN</t>
        </is>
      </c>
      <c r="G311" t="inlineStr">
        <is>
          <t>OSBY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17675-2023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45035</v>
      </c>
      <c r="E312" s="1" t="n">
        <v>46306</v>
      </c>
      <c r="F312" t="inlineStr">
        <is>
          <t>SKÅNE LÄN</t>
        </is>
      </c>
      <c r="G312" t="inlineStr">
        <is>
          <t>OSBY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46306</v>
      </c>
      <c r="F313" t="inlineStr">
        <is>
          <t>SKÅNE LÄN</t>
        </is>
      </c>
      <c r="G313" t="inlineStr">
        <is>
          <t>OSBY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58747-2024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45635</v>
      </c>
      <c r="E314" s="1" t="n">
        <v>46306</v>
      </c>
      <c r="F314" t="inlineStr">
        <is>
          <t>SKÅNE LÄN</t>
        </is>
      </c>
      <c r="G314" t="inlineStr">
        <is>
          <t>OSBY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46306</v>
      </c>
      <c r="F315" t="inlineStr">
        <is>
          <t>SKÅNE LÄN</t>
        </is>
      </c>
      <c r="G315" t="inlineStr">
        <is>
          <t>OSBY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44602</v>
      </c>
      <c r="E316" s="1" t="n">
        <v>46306</v>
      </c>
      <c r="F316" t="inlineStr">
        <is>
          <t>SKÅNE LÄN</t>
        </is>
      </c>
      <c r="G316" t="inlineStr">
        <is>
          <t>OSBY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46306</v>
      </c>
      <c r="F317" t="inlineStr">
        <is>
          <t>SKÅNE LÄN</t>
        </is>
      </c>
      <c r="G317" t="inlineStr">
        <is>
          <t>OSBY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31758-2022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44776</v>
      </c>
      <c r="E318" s="1" t="n">
        <v>46306</v>
      </c>
      <c r="F318" t="inlineStr">
        <is>
          <t>SKÅNE LÄN</t>
        </is>
      </c>
      <c r="G318" t="inlineStr">
        <is>
          <t>OSBY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46306</v>
      </c>
      <c r="F319" t="inlineStr">
        <is>
          <t>SKÅNE LÄN</t>
        </is>
      </c>
      <c r="G319" t="inlineStr">
        <is>
          <t>OSBY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46306</v>
      </c>
      <c r="F320" t="inlineStr">
        <is>
          <t>SKÅNE LÄN</t>
        </is>
      </c>
      <c r="G320" t="inlineStr">
        <is>
          <t>OSBY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46306</v>
      </c>
      <c r="F321" t="inlineStr">
        <is>
          <t>SKÅNE LÄN</t>
        </is>
      </c>
      <c r="G321" t="inlineStr">
        <is>
          <t>OSBY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46306</v>
      </c>
      <c r="F322" t="inlineStr">
        <is>
          <t>SKÅNE LÄN</t>
        </is>
      </c>
      <c r="G322" t="inlineStr">
        <is>
          <t>OSBY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32520-2025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45838</v>
      </c>
      <c r="E323" s="1" t="n">
        <v>46306</v>
      </c>
      <c r="F323" t="inlineStr">
        <is>
          <t>SKÅNE LÄN</t>
        </is>
      </c>
      <c r="G323" t="inlineStr">
        <is>
          <t>OSBY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51861-2024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45607</v>
      </c>
      <c r="E324" s="1" t="n">
        <v>46306</v>
      </c>
      <c r="F324" t="inlineStr">
        <is>
          <t>SKÅNE LÄN</t>
        </is>
      </c>
      <c r="G324" t="inlineStr">
        <is>
          <t>OSBY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33251-2024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45518</v>
      </c>
      <c r="E325" s="1" t="n">
        <v>46306</v>
      </c>
      <c r="F325" t="inlineStr">
        <is>
          <t>SKÅNE LÄN</t>
        </is>
      </c>
      <c r="G325" t="inlineStr">
        <is>
          <t>OSBY</t>
        </is>
      </c>
      <c r="H325" t="inlineStr">
        <is>
          <t>Naturvårdsverket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18294-2024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45422</v>
      </c>
      <c r="E326" s="1" t="n">
        <v>46306</v>
      </c>
      <c r="F326" t="inlineStr">
        <is>
          <t>SKÅNE LÄN</t>
        </is>
      </c>
      <c r="G326" t="inlineStr">
        <is>
          <t>OSBY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45483</v>
      </c>
      <c r="E327" s="1" t="n">
        <v>46306</v>
      </c>
      <c r="F327" t="inlineStr">
        <is>
          <t>SKÅNE LÄN</t>
        </is>
      </c>
      <c r="G327" t="inlineStr">
        <is>
          <t>OSBY</t>
        </is>
      </c>
      <c r="H327" t="inlineStr">
        <is>
          <t>Kommuner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44997</v>
      </c>
      <c r="E328" s="1" t="n">
        <v>46306</v>
      </c>
      <c r="F328" t="inlineStr">
        <is>
          <t>SKÅNE LÄN</t>
        </is>
      </c>
      <c r="G328" t="inlineStr">
        <is>
          <t>OSBY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45468</v>
      </c>
      <c r="E329" s="1" t="n">
        <v>46306</v>
      </c>
      <c r="F329" t="inlineStr">
        <is>
          <t>SKÅNE LÄN</t>
        </is>
      </c>
      <c r="G329" t="inlineStr">
        <is>
          <t>OSBY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45964</v>
      </c>
      <c r="E330" s="1" t="n">
        <v>46306</v>
      </c>
      <c r="F330" t="inlineStr">
        <is>
          <t>SKÅNE LÄN</t>
        </is>
      </c>
      <c r="G330" t="inlineStr">
        <is>
          <t>OSBY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59966-2024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45642</v>
      </c>
      <c r="E331" s="1" t="n">
        <v>46306</v>
      </c>
      <c r="F331" t="inlineStr">
        <is>
          <t>SKÅNE LÄN</t>
        </is>
      </c>
      <c r="G331" t="inlineStr">
        <is>
          <t>OSBY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46306</v>
      </c>
      <c r="F332" t="inlineStr">
        <is>
          <t>SKÅNE LÄN</t>
        </is>
      </c>
      <c r="G332" t="inlineStr">
        <is>
          <t>OSBY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45110</v>
      </c>
      <c r="E333" s="1" t="n">
        <v>46306</v>
      </c>
      <c r="F333" t="inlineStr">
        <is>
          <t>SKÅNE LÄN</t>
        </is>
      </c>
      <c r="G333" t="inlineStr">
        <is>
          <t>OSBY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44801</v>
      </c>
      <c r="E334" s="1" t="n">
        <v>46306</v>
      </c>
      <c r="F334" t="inlineStr">
        <is>
          <t>SKÅNE LÄN</t>
        </is>
      </c>
      <c r="G334" t="inlineStr">
        <is>
          <t>OSBY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45642</v>
      </c>
      <c r="E335" s="1" t="n">
        <v>46306</v>
      </c>
      <c r="F335" t="inlineStr">
        <is>
          <t>SKÅNE LÄN</t>
        </is>
      </c>
      <c r="G335" t="inlineStr">
        <is>
          <t>OSBY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46306</v>
      </c>
      <c r="F336" t="inlineStr">
        <is>
          <t>SKÅNE LÄN</t>
        </is>
      </c>
      <c r="G336" t="inlineStr">
        <is>
          <t>OSBY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46431-2023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45197</v>
      </c>
      <c r="E337" s="1" t="n">
        <v>46306</v>
      </c>
      <c r="F337" t="inlineStr">
        <is>
          <t>SKÅNE LÄN</t>
        </is>
      </c>
      <c r="G337" t="inlineStr">
        <is>
          <t>OSBY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45301</v>
      </c>
      <c r="E338" s="1" t="n">
        <v>46306</v>
      </c>
      <c r="F338" t="inlineStr">
        <is>
          <t>SKÅNE LÄN</t>
        </is>
      </c>
      <c r="G338" t="inlineStr">
        <is>
          <t>OSBY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46306</v>
      </c>
      <c r="F339" t="inlineStr">
        <is>
          <t>SKÅNE LÄN</t>
        </is>
      </c>
      <c r="G339" t="inlineStr">
        <is>
          <t>OSBY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45091</v>
      </c>
      <c r="E340" s="1" t="n">
        <v>46306</v>
      </c>
      <c r="F340" t="inlineStr">
        <is>
          <t>SKÅNE LÄN</t>
        </is>
      </c>
      <c r="G340" t="inlineStr">
        <is>
          <t>OSBY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46306</v>
      </c>
      <c r="F341" t="inlineStr">
        <is>
          <t>SKÅNE LÄN</t>
        </is>
      </c>
      <c r="G341" t="inlineStr">
        <is>
          <t>OSBY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45646</v>
      </c>
      <c r="E342" s="1" t="n">
        <v>46306</v>
      </c>
      <c r="F342" t="inlineStr">
        <is>
          <t>SKÅNE LÄN</t>
        </is>
      </c>
      <c r="G342" t="inlineStr">
        <is>
          <t>OSBY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45826</v>
      </c>
      <c r="E343" s="1" t="n">
        <v>46306</v>
      </c>
      <c r="F343" t="inlineStr">
        <is>
          <t>SKÅNE LÄN</t>
        </is>
      </c>
      <c r="G343" t="inlineStr">
        <is>
          <t>OSBY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30213-2022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44757</v>
      </c>
      <c r="E344" s="1" t="n">
        <v>46306</v>
      </c>
      <c r="F344" t="inlineStr">
        <is>
          <t>SKÅNE LÄN</t>
        </is>
      </c>
      <c r="G344" t="inlineStr">
        <is>
          <t>OSBY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46306</v>
      </c>
      <c r="F345" t="inlineStr">
        <is>
          <t>SKÅNE LÄN</t>
        </is>
      </c>
      <c r="G345" t="inlineStr">
        <is>
          <t>OSBY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33822-2022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44790</v>
      </c>
      <c r="E346" s="1" t="n">
        <v>46306</v>
      </c>
      <c r="F346" t="inlineStr">
        <is>
          <t>SKÅNE LÄN</t>
        </is>
      </c>
      <c r="G346" t="inlineStr">
        <is>
          <t>OSBY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34053-2025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45845</v>
      </c>
      <c r="E347" s="1" t="n">
        <v>46306</v>
      </c>
      <c r="F347" t="inlineStr">
        <is>
          <t>SKÅNE LÄN</t>
        </is>
      </c>
      <c r="G347" t="inlineStr">
        <is>
          <t>OSBY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45844</v>
      </c>
      <c r="E348" s="1" t="n">
        <v>46306</v>
      </c>
      <c r="F348" t="inlineStr">
        <is>
          <t>SKÅNE LÄN</t>
        </is>
      </c>
      <c r="G348" t="inlineStr">
        <is>
          <t>OSBY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46306</v>
      </c>
      <c r="F349" t="inlineStr">
        <is>
          <t>SKÅNE LÄN</t>
        </is>
      </c>
      <c r="G349" t="inlineStr">
        <is>
          <t>OSBY</t>
        </is>
      </c>
      <c r="I349" t="n">
        <v>8.800000000000001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46306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45605</v>
      </c>
      <c r="E351" s="1" t="n">
        <v>46306</v>
      </c>
      <c r="F351" t="inlineStr">
        <is>
          <t>SKÅNE LÄN</t>
        </is>
      </c>
      <c r="G351" t="inlineStr">
        <is>
          <t>OSBY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45605</v>
      </c>
      <c r="E352" s="1" t="n">
        <v>46306</v>
      </c>
      <c r="F352" t="inlineStr">
        <is>
          <t>SKÅNE LÄN</t>
        </is>
      </c>
      <c r="G352" t="inlineStr">
        <is>
          <t>OSBY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45314</v>
      </c>
      <c r="E353" s="1" t="n">
        <v>46306</v>
      </c>
      <c r="F353" t="inlineStr">
        <is>
          <t>SKÅNE LÄN</t>
        </is>
      </c>
      <c r="G353" t="inlineStr">
        <is>
          <t>OSBY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45666</v>
      </c>
      <c r="E354" s="1" t="n">
        <v>46306</v>
      </c>
      <c r="F354" t="inlineStr">
        <is>
          <t>SKÅNE LÄN</t>
        </is>
      </c>
      <c r="G354" t="inlineStr">
        <is>
          <t>OSBY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44802</v>
      </c>
      <c r="E355" s="1" t="n">
        <v>46306</v>
      </c>
      <c r="F355" t="inlineStr">
        <is>
          <t>SKÅNE LÄN</t>
        </is>
      </c>
      <c r="G355" t="inlineStr">
        <is>
          <t>OSBY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61602-2023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45265</v>
      </c>
      <c r="E356" s="1" t="n">
        <v>46306</v>
      </c>
      <c r="F356" t="inlineStr">
        <is>
          <t>SKÅNE LÄN</t>
        </is>
      </c>
      <c r="G356" t="inlineStr">
        <is>
          <t>OSBY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15232-2025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45744</v>
      </c>
      <c r="E357" s="1" t="n">
        <v>46306</v>
      </c>
      <c r="F357" t="inlineStr">
        <is>
          <t>SKÅNE LÄN</t>
        </is>
      </c>
      <c r="G357" t="inlineStr">
        <is>
          <t>OSBY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57839-2024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45630</v>
      </c>
      <c r="E358" s="1" t="n">
        <v>46306</v>
      </c>
      <c r="F358" t="inlineStr">
        <is>
          <t>SKÅNE LÄN</t>
        </is>
      </c>
      <c r="G358" t="inlineStr">
        <is>
          <t>OSBY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63077-2021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44505</v>
      </c>
      <c r="E359" s="1" t="n">
        <v>46306</v>
      </c>
      <c r="F359" t="inlineStr">
        <is>
          <t>SKÅNE LÄN</t>
        </is>
      </c>
      <c r="G359" t="inlineStr">
        <is>
          <t>OSBY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46306</v>
      </c>
      <c r="F360" t="inlineStr">
        <is>
          <t>SKÅNE LÄN</t>
        </is>
      </c>
      <c r="G360" t="inlineStr">
        <is>
          <t>OSBY</t>
        </is>
      </c>
      <c r="H360" t="inlineStr">
        <is>
          <t>Kyrkan</t>
        </is>
      </c>
      <c r="I360" t="n">
        <v>11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46306</v>
      </c>
      <c r="F361" t="inlineStr">
        <is>
          <t>SKÅNE LÄN</t>
        </is>
      </c>
      <c r="G361" t="inlineStr">
        <is>
          <t>OSBY</t>
        </is>
      </c>
      <c r="H361" t="inlineStr">
        <is>
          <t>Sveaskog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45688</v>
      </c>
      <c r="E362" s="1" t="n">
        <v>46306</v>
      </c>
      <c r="F362" t="inlineStr">
        <is>
          <t>SKÅNE LÄN</t>
        </is>
      </c>
      <c r="G362" t="inlineStr">
        <is>
          <t>OSBY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46306</v>
      </c>
      <c r="F363" t="inlineStr">
        <is>
          <t>SKÅNE LÄN</t>
        </is>
      </c>
      <c r="G363" t="inlineStr">
        <is>
          <t>OSBY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46306</v>
      </c>
      <c r="F364" t="inlineStr">
        <is>
          <t>SKÅNE LÄN</t>
        </is>
      </c>
      <c r="G364" t="inlineStr">
        <is>
          <t>OSBY</t>
        </is>
      </c>
      <c r="H364" t="inlineStr">
        <is>
          <t>Kommuner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45237</v>
      </c>
      <c r="E365" s="1" t="n">
        <v>46306</v>
      </c>
      <c r="F365" t="inlineStr">
        <is>
          <t>SKÅNE LÄN</t>
        </is>
      </c>
      <c r="G365" t="inlineStr">
        <is>
          <t>OSBY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45677</v>
      </c>
      <c r="E366" s="1" t="n">
        <v>46306</v>
      </c>
      <c r="F366" t="inlineStr">
        <is>
          <t>SKÅNE LÄN</t>
        </is>
      </c>
      <c r="G366" t="inlineStr">
        <is>
          <t>OSBY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44832</v>
      </c>
      <c r="E367" s="1" t="n">
        <v>46306</v>
      </c>
      <c r="F367" t="inlineStr">
        <is>
          <t>SKÅNE LÄN</t>
        </is>
      </c>
      <c r="G367" t="inlineStr">
        <is>
          <t>OSBY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23479-2024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45453</v>
      </c>
      <c r="E368" s="1" t="n">
        <v>46306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45216</v>
      </c>
      <c r="E369" s="1" t="n">
        <v>46306</v>
      </c>
      <c r="F369" t="inlineStr">
        <is>
          <t>SKÅNE LÄN</t>
        </is>
      </c>
      <c r="G369" t="inlineStr">
        <is>
          <t>OSBY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45685</v>
      </c>
      <c r="E370" s="1" t="n">
        <v>46306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40388-2024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46306</v>
      </c>
      <c r="F371" t="inlineStr">
        <is>
          <t>SKÅNE LÄN</t>
        </is>
      </c>
      <c r="G371" t="inlineStr">
        <is>
          <t>OSBY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13754-2025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45737</v>
      </c>
      <c r="E372" s="1" t="n">
        <v>46306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44873</v>
      </c>
      <c r="E373" s="1" t="n">
        <v>46306</v>
      </c>
      <c r="F373" t="inlineStr">
        <is>
          <t>SKÅNE LÄN</t>
        </is>
      </c>
      <c r="G373" t="inlineStr">
        <is>
          <t>OSBY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12680-2025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45733</v>
      </c>
      <c r="E374" s="1" t="n">
        <v>46306</v>
      </c>
      <c r="F374" t="inlineStr">
        <is>
          <t>SKÅNE LÄN</t>
        </is>
      </c>
      <c r="G374" t="inlineStr">
        <is>
          <t>OSBY</t>
        </is>
      </c>
      <c r="H374" t="inlineStr">
        <is>
          <t>Sveaskog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28240-2022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44746</v>
      </c>
      <c r="E375" s="1" t="n">
        <v>46306</v>
      </c>
      <c r="F375" t="inlineStr">
        <is>
          <t>SKÅNE LÄN</t>
        </is>
      </c>
      <c r="G375" t="inlineStr">
        <is>
          <t>OSBY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58101-2025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46306</v>
      </c>
      <c r="F376" t="inlineStr">
        <is>
          <t>SKÅNE LÄN</t>
        </is>
      </c>
      <c r="G376" t="inlineStr">
        <is>
          <t>OSBY</t>
        </is>
      </c>
      <c r="I376" t="n">
        <v>10.2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45685</v>
      </c>
      <c r="E377" s="1" t="n">
        <v>46306</v>
      </c>
      <c r="F377" t="inlineStr">
        <is>
          <t>SKÅNE LÄN</t>
        </is>
      </c>
      <c r="G377" t="inlineStr">
        <is>
          <t>OSBY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44603</v>
      </c>
      <c r="E378" s="1" t="n">
        <v>46306</v>
      </c>
      <c r="F378" t="inlineStr">
        <is>
          <t>SKÅNE LÄN</t>
        </is>
      </c>
      <c r="G378" t="inlineStr">
        <is>
          <t>OSBY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45147</v>
      </c>
      <c r="E379" s="1" t="n">
        <v>46306</v>
      </c>
      <c r="F379" t="inlineStr">
        <is>
          <t>SKÅNE LÄN</t>
        </is>
      </c>
      <c r="G379" t="inlineStr">
        <is>
          <t>OSBY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12248-2024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46306</v>
      </c>
      <c r="F380" t="inlineStr">
        <is>
          <t>SKÅNE LÄN</t>
        </is>
      </c>
      <c r="G380" t="inlineStr">
        <is>
          <t>OSBY</t>
        </is>
      </c>
      <c r="H380" t="inlineStr">
        <is>
          <t>Kommuner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45730</v>
      </c>
      <c r="E381" s="1" t="n">
        <v>46306</v>
      </c>
      <c r="F381" t="inlineStr">
        <is>
          <t>SKÅNE LÄN</t>
        </is>
      </c>
      <c r="G381" t="inlineStr">
        <is>
          <t>OSBY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46306</v>
      </c>
      <c r="F382" t="inlineStr">
        <is>
          <t>SKÅNE LÄN</t>
        </is>
      </c>
      <c r="G382" t="inlineStr">
        <is>
          <t>OSBY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46306</v>
      </c>
      <c r="F383" t="inlineStr">
        <is>
          <t>SKÅNE LÄN</t>
        </is>
      </c>
      <c r="G383" t="inlineStr">
        <is>
          <t>OSBY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45986</v>
      </c>
      <c r="E384" s="1" t="n">
        <v>46306</v>
      </c>
      <c r="F384" t="inlineStr">
        <is>
          <t>SKÅNE LÄN</t>
        </is>
      </c>
      <c r="G384" t="inlineStr">
        <is>
          <t>OSBY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45610</v>
      </c>
      <c r="E385" s="1" t="n">
        <v>46306</v>
      </c>
      <c r="F385" t="inlineStr">
        <is>
          <t>SKÅNE LÄN</t>
        </is>
      </c>
      <c r="G385" t="inlineStr">
        <is>
          <t>OSBY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9670-2023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44978</v>
      </c>
      <c r="E386" s="1" t="n">
        <v>46306</v>
      </c>
      <c r="F386" t="inlineStr">
        <is>
          <t>SKÅNE LÄN</t>
        </is>
      </c>
      <c r="G386" t="inlineStr">
        <is>
          <t>OSBY</t>
        </is>
      </c>
      <c r="H386" t="inlineStr">
        <is>
          <t>Naturvårdsverket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45503</v>
      </c>
      <c r="E387" s="1" t="n">
        <v>46306</v>
      </c>
      <c r="F387" t="inlineStr">
        <is>
          <t>SKÅNE LÄN</t>
        </is>
      </c>
      <c r="G387" t="inlineStr">
        <is>
          <t>OSBY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59679-2023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45255</v>
      </c>
      <c r="E388" s="1" t="n">
        <v>46306</v>
      </c>
      <c r="F388" t="inlineStr">
        <is>
          <t>SKÅNE LÄN</t>
        </is>
      </c>
      <c r="G388" t="inlineStr">
        <is>
          <t>OSBY</t>
        </is>
      </c>
      <c r="I388" t="n">
        <v>15.6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45728</v>
      </c>
      <c r="E389" s="1" t="n">
        <v>46306</v>
      </c>
      <c r="F389" t="inlineStr">
        <is>
          <t>SKÅNE LÄN</t>
        </is>
      </c>
      <c r="G389" t="inlineStr">
        <is>
          <t>OSBY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36569-2024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46306</v>
      </c>
      <c r="F390" t="inlineStr">
        <is>
          <t>SKÅNE LÄN</t>
        </is>
      </c>
      <c r="G390" t="inlineStr">
        <is>
          <t>OSBY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45652</v>
      </c>
      <c r="E391" s="1" t="n">
        <v>46306</v>
      </c>
      <c r="F391" t="inlineStr">
        <is>
          <t>SKÅNE LÄN</t>
        </is>
      </c>
      <c r="G391" t="inlineStr">
        <is>
          <t>OSBY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45709</v>
      </c>
      <c r="E392" s="1" t="n">
        <v>46306</v>
      </c>
      <c r="F392" t="inlineStr">
        <is>
          <t>SKÅNE LÄN</t>
        </is>
      </c>
      <c r="G392" t="inlineStr">
        <is>
          <t>OSBY</t>
        </is>
      </c>
      <c r="H392" t="inlineStr">
        <is>
          <t>Kommuner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46306</v>
      </c>
      <c r="F393" t="inlineStr">
        <is>
          <t>SKÅNE LÄN</t>
        </is>
      </c>
      <c r="G393" t="inlineStr">
        <is>
          <t>OSBY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46306</v>
      </c>
      <c r="F394" t="inlineStr">
        <is>
          <t>SKÅNE LÄN</t>
        </is>
      </c>
      <c r="G394" t="inlineStr">
        <is>
          <t>OSBY</t>
        </is>
      </c>
      <c r="I394" t="n">
        <v>15.4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46306</v>
      </c>
      <c r="F395" t="inlineStr">
        <is>
          <t>SKÅNE LÄN</t>
        </is>
      </c>
      <c r="G395" t="inlineStr">
        <is>
          <t>OSBY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61364-2023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45264</v>
      </c>
      <c r="E396" s="1" t="n">
        <v>46306</v>
      </c>
      <c r="F396" t="inlineStr">
        <is>
          <t>SKÅNE LÄN</t>
        </is>
      </c>
      <c r="G396" t="inlineStr">
        <is>
          <t>OSBY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43931-2022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44838</v>
      </c>
      <c r="E397" s="1" t="n">
        <v>46306</v>
      </c>
      <c r="F397" t="inlineStr">
        <is>
          <t>SKÅNE LÄN</t>
        </is>
      </c>
      <c r="G397" t="inlineStr">
        <is>
          <t>OSBY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46306</v>
      </c>
      <c r="F398" t="inlineStr">
        <is>
          <t>SKÅNE LÄN</t>
        </is>
      </c>
      <c r="G398" t="inlineStr">
        <is>
          <t>OSBY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46306</v>
      </c>
      <c r="F399" t="inlineStr">
        <is>
          <t>SKÅNE LÄN</t>
        </is>
      </c>
      <c r="G399" t="inlineStr">
        <is>
          <t>OSBY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33741-2024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45520</v>
      </c>
      <c r="E400" s="1" t="n">
        <v>46306</v>
      </c>
      <c r="F400" t="inlineStr">
        <is>
          <t>SKÅNE LÄN</t>
        </is>
      </c>
      <c r="G400" t="inlineStr">
        <is>
          <t>OSBY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44965</v>
      </c>
      <c r="E401" s="1" t="n">
        <v>46306</v>
      </c>
      <c r="F401" t="inlineStr">
        <is>
          <t>SKÅNE LÄN</t>
        </is>
      </c>
      <c r="G401" t="inlineStr">
        <is>
          <t>OSBY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44790</v>
      </c>
      <c r="E402" s="1" t="n">
        <v>46306</v>
      </c>
      <c r="F402" t="inlineStr">
        <is>
          <t>SKÅNE LÄN</t>
        </is>
      </c>
      <c r="G402" t="inlineStr">
        <is>
          <t>OSBY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45036</v>
      </c>
      <c r="E403" s="1" t="n">
        <v>46306</v>
      </c>
      <c r="F403" t="inlineStr">
        <is>
          <t>SKÅNE LÄN</t>
        </is>
      </c>
      <c r="G403" t="inlineStr">
        <is>
          <t>OSBY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45342</v>
      </c>
      <c r="E404" s="1" t="n">
        <v>46306</v>
      </c>
      <c r="F404" t="inlineStr">
        <is>
          <t>SKÅNE LÄN</t>
        </is>
      </c>
      <c r="G404" t="inlineStr">
        <is>
          <t>OSBY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61520-2022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44910</v>
      </c>
      <c r="E405" s="1" t="n">
        <v>46306</v>
      </c>
      <c r="F405" t="inlineStr">
        <is>
          <t>SKÅNE LÄN</t>
        </is>
      </c>
      <c r="G405" t="inlineStr">
        <is>
          <t>OSBY</t>
        </is>
      </c>
      <c r="H405" t="inlineStr">
        <is>
          <t>Kyrkan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44585</v>
      </c>
      <c r="E406" s="1" t="n">
        <v>46306</v>
      </c>
      <c r="F406" t="inlineStr">
        <is>
          <t>SKÅNE LÄN</t>
        </is>
      </c>
      <c r="G406" t="inlineStr">
        <is>
          <t>OSBY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44580</v>
      </c>
      <c r="E407" s="1" t="n">
        <v>46306</v>
      </c>
      <c r="F407" t="inlineStr">
        <is>
          <t>SKÅNE LÄN</t>
        </is>
      </c>
      <c r="G407" t="inlineStr">
        <is>
          <t>OSBY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46306</v>
      </c>
      <c r="F408" t="inlineStr">
        <is>
          <t>SKÅNE LÄN</t>
        </is>
      </c>
      <c r="G408" t="inlineStr">
        <is>
          <t>OSBY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45996</v>
      </c>
      <c r="E409" s="1" t="n">
        <v>46306</v>
      </c>
      <c r="F409" t="inlineStr">
        <is>
          <t>SKÅNE LÄN</t>
        </is>
      </c>
      <c r="G409" t="inlineStr">
        <is>
          <t>OSBY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20636-2024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46306</v>
      </c>
      <c r="F410" t="inlineStr">
        <is>
          <t>SKÅNE LÄN</t>
        </is>
      </c>
      <c r="G410" t="inlineStr">
        <is>
          <t>OSBY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46306</v>
      </c>
      <c r="F411" t="inlineStr">
        <is>
          <t>SKÅNE LÄN</t>
        </is>
      </c>
      <c r="G411" t="inlineStr">
        <is>
          <t>OSBY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61648-2022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44916</v>
      </c>
      <c r="E412" s="1" t="n">
        <v>46306</v>
      </c>
      <c r="F412" t="inlineStr">
        <is>
          <t>SKÅNE LÄN</t>
        </is>
      </c>
      <c r="G412" t="inlineStr">
        <is>
          <t>OSBY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46306</v>
      </c>
      <c r="F413" t="inlineStr">
        <is>
          <t>SKÅNE LÄN</t>
        </is>
      </c>
      <c r="G413" t="inlineStr">
        <is>
          <t>OSBY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46306</v>
      </c>
      <c r="F414" t="inlineStr">
        <is>
          <t>SKÅNE LÄN</t>
        </is>
      </c>
      <c r="G414" t="inlineStr">
        <is>
          <t>OSBY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44951</v>
      </c>
      <c r="E415" s="1" t="n">
        <v>46306</v>
      </c>
      <c r="F415" t="inlineStr">
        <is>
          <t>SKÅNE LÄN</t>
        </is>
      </c>
      <c r="G415" t="inlineStr">
        <is>
          <t>OSBY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27378-2022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44742</v>
      </c>
      <c r="E416" s="1" t="n">
        <v>46306</v>
      </c>
      <c r="F416" t="inlineStr">
        <is>
          <t>SKÅNE LÄN</t>
        </is>
      </c>
      <c r="G416" t="inlineStr">
        <is>
          <t>OSBY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45650-2022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44845</v>
      </c>
      <c r="E417" s="1" t="n">
        <v>46306</v>
      </c>
      <c r="F417" t="inlineStr">
        <is>
          <t>SKÅNE LÄN</t>
        </is>
      </c>
      <c r="G417" t="inlineStr">
        <is>
          <t>OSBY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46306</v>
      </c>
      <c r="F418" t="inlineStr">
        <is>
          <t>SKÅNE LÄN</t>
        </is>
      </c>
      <c r="G418" t="inlineStr">
        <is>
          <t>OSBY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19343-2026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46306</v>
      </c>
      <c r="F419" t="inlineStr">
        <is>
          <t>SKÅNE LÄN</t>
        </is>
      </c>
      <c r="G419" t="inlineStr">
        <is>
          <t>OSBY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46306</v>
      </c>
      <c r="F420" t="inlineStr">
        <is>
          <t>SKÅNE LÄN</t>
        </is>
      </c>
      <c r="G420" t="inlineStr">
        <is>
          <t>OSBY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45573</v>
      </c>
      <c r="E421" s="1" t="n">
        <v>46306</v>
      </c>
      <c r="F421" t="inlineStr">
        <is>
          <t>SKÅNE LÄN</t>
        </is>
      </c>
      <c r="G421" t="inlineStr">
        <is>
          <t>OSBY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45555</v>
      </c>
      <c r="E422" s="1" t="n">
        <v>46306</v>
      </c>
      <c r="F422" t="inlineStr">
        <is>
          <t>SKÅNE LÄN</t>
        </is>
      </c>
      <c r="G422" t="inlineStr">
        <is>
          <t>OSBY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44957</v>
      </c>
      <c r="E423" s="1" t="n">
        <v>46306</v>
      </c>
      <c r="F423" t="inlineStr">
        <is>
          <t>SKÅNE LÄN</t>
        </is>
      </c>
      <c r="G423" t="inlineStr">
        <is>
          <t>OSBY</t>
        </is>
      </c>
      <c r="I423" t="n">
        <v>9.199999999999999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11555-2022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44631</v>
      </c>
      <c r="E424" s="1" t="n">
        <v>46306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46306</v>
      </c>
      <c r="F425" t="inlineStr">
        <is>
          <t>SKÅNE LÄN</t>
        </is>
      </c>
      <c r="G425" t="inlineStr">
        <is>
          <t>OSBY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45785</v>
      </c>
      <c r="E426" s="1" t="n">
        <v>46306</v>
      </c>
      <c r="F426" t="inlineStr">
        <is>
          <t>SKÅNE LÄN</t>
        </is>
      </c>
      <c r="G426" t="inlineStr">
        <is>
          <t>OSBY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46306</v>
      </c>
      <c r="F427" t="inlineStr">
        <is>
          <t>SKÅNE LÄN</t>
        </is>
      </c>
      <c r="G427" t="inlineStr">
        <is>
          <t>OSBY</t>
        </is>
      </c>
      <c r="I427" t="n">
        <v>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15525-2023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45016</v>
      </c>
      <c r="E428" s="1" t="n">
        <v>46306</v>
      </c>
      <c r="F428" t="inlineStr">
        <is>
          <t>SKÅNE LÄN</t>
        </is>
      </c>
      <c r="G428" t="inlineStr">
        <is>
          <t>OSBY</t>
        </is>
      </c>
      <c r="H428" t="inlineStr">
        <is>
          <t>Naturvårdsverket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45666</v>
      </c>
      <c r="E429" s="1" t="n">
        <v>46306</v>
      </c>
      <c r="F429" t="inlineStr">
        <is>
          <t>SKÅNE LÄN</t>
        </is>
      </c>
      <c r="G429" t="inlineStr">
        <is>
          <t>OSBY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46306</v>
      </c>
      <c r="F430" t="inlineStr">
        <is>
          <t>SKÅNE LÄN</t>
        </is>
      </c>
      <c r="G430" t="inlineStr">
        <is>
          <t>OSBY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9840-2022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44620</v>
      </c>
      <c r="E431" s="1" t="n">
        <v>46306</v>
      </c>
      <c r="F431" t="inlineStr">
        <is>
          <t>SKÅNE LÄN</t>
        </is>
      </c>
      <c r="G431" t="inlineStr">
        <is>
          <t>OSBY</t>
        </is>
      </c>
      <c r="H431" t="inlineStr">
        <is>
          <t>Kommuner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9840-2022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44620</v>
      </c>
      <c r="E432" s="1" t="n">
        <v>46306</v>
      </c>
      <c r="F432" t="inlineStr">
        <is>
          <t>SKÅNE LÄN</t>
        </is>
      </c>
      <c r="G432" t="inlineStr">
        <is>
          <t>OSBY</t>
        </is>
      </c>
      <c r="H432" t="inlineStr">
        <is>
          <t>Kommuner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63892-2025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46306</v>
      </c>
      <c r="F433" t="inlineStr">
        <is>
          <t>SKÅNE LÄN</t>
        </is>
      </c>
      <c r="G433" t="inlineStr">
        <is>
          <t>OSBY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63893-2025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46020</v>
      </c>
      <c r="E434" s="1" t="n">
        <v>46306</v>
      </c>
      <c r="F434" t="inlineStr">
        <is>
          <t>SKÅNE LÄN</t>
        </is>
      </c>
      <c r="G434" t="inlineStr">
        <is>
          <t>OSBY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45239</v>
      </c>
      <c r="E435" s="1" t="n">
        <v>46306</v>
      </c>
      <c r="F435" t="inlineStr">
        <is>
          <t>SKÅNE LÄN</t>
        </is>
      </c>
      <c r="G435" t="inlineStr">
        <is>
          <t>OSBY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6605-2024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45341</v>
      </c>
      <c r="E436" s="1" t="n">
        <v>46306</v>
      </c>
      <c r="F436" t="inlineStr">
        <is>
          <t>SKÅNE LÄN</t>
        </is>
      </c>
      <c r="G436" t="inlineStr">
        <is>
          <t>OSBY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45436</v>
      </c>
      <c r="E437" s="1" t="n">
        <v>46306</v>
      </c>
      <c r="F437" t="inlineStr">
        <is>
          <t>SKÅNE LÄN</t>
        </is>
      </c>
      <c r="G437" t="inlineStr">
        <is>
          <t>OSBY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58337-2021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44487</v>
      </c>
      <c r="E438" s="1" t="n">
        <v>46306</v>
      </c>
      <c r="F438" t="inlineStr">
        <is>
          <t>SKÅNE LÄN</t>
        </is>
      </c>
      <c r="G438" t="inlineStr">
        <is>
          <t>OSBY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42614-2025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45905</v>
      </c>
      <c r="E439" s="1" t="n">
        <v>46306</v>
      </c>
      <c r="F439" t="inlineStr">
        <is>
          <t>SKÅNE LÄN</t>
        </is>
      </c>
      <c r="G439" t="inlineStr">
        <is>
          <t>OSBY</t>
        </is>
      </c>
      <c r="H439" t="inlineStr">
        <is>
          <t>Kyrkan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9840-2022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44620</v>
      </c>
      <c r="E440" s="1" t="n">
        <v>46306</v>
      </c>
      <c r="F440" t="inlineStr">
        <is>
          <t>SKÅNE LÄN</t>
        </is>
      </c>
      <c r="G440" t="inlineStr">
        <is>
          <t>OSBY</t>
        </is>
      </c>
      <c r="H440" t="inlineStr">
        <is>
          <t>Kommuner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22636-2023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45071</v>
      </c>
      <c r="E441" s="1" t="n">
        <v>46306</v>
      </c>
      <c r="F441" t="inlineStr">
        <is>
          <t>SKÅNE LÄN</t>
        </is>
      </c>
      <c r="G441" t="inlineStr">
        <is>
          <t>OSBY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46306</v>
      </c>
      <c r="F442" t="inlineStr">
        <is>
          <t>SKÅNE LÄN</t>
        </is>
      </c>
      <c r="G442" t="inlineStr">
        <is>
          <t>OSBY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46306</v>
      </c>
      <c r="F443" t="inlineStr">
        <is>
          <t>SKÅNE LÄN</t>
        </is>
      </c>
      <c r="G443" t="inlineStr">
        <is>
          <t>OSBY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45097</v>
      </c>
      <c r="E444" s="1" t="n">
        <v>46306</v>
      </c>
      <c r="F444" t="inlineStr">
        <is>
          <t>SKÅNE LÄN</t>
        </is>
      </c>
      <c r="G444" t="inlineStr">
        <is>
          <t>OSBY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22029-2022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44711</v>
      </c>
      <c r="E445" s="1" t="n">
        <v>46306</v>
      </c>
      <c r="F445" t="inlineStr">
        <is>
          <t>SKÅNE LÄN</t>
        </is>
      </c>
      <c r="G445" t="inlineStr">
        <is>
          <t>OSBY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36979-2024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45539</v>
      </c>
      <c r="E446" s="1" t="n">
        <v>46306</v>
      </c>
      <c r="F446" t="inlineStr">
        <is>
          <t>SKÅNE LÄN</t>
        </is>
      </c>
      <c r="G446" t="inlineStr">
        <is>
          <t>OSBY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46306</v>
      </c>
      <c r="F447" t="inlineStr">
        <is>
          <t>SKÅNE LÄN</t>
        </is>
      </c>
      <c r="G447" t="inlineStr">
        <is>
          <t>OSBY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64897-2023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45282</v>
      </c>
      <c r="E448" s="1" t="n">
        <v>46306</v>
      </c>
      <c r="F448" t="inlineStr">
        <is>
          <t>SKÅNE LÄN</t>
        </is>
      </c>
      <c r="G448" t="inlineStr">
        <is>
          <t>OSBY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36952-2023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46306</v>
      </c>
      <c r="F449" t="inlineStr">
        <is>
          <t>SKÅNE LÄN</t>
        </is>
      </c>
      <c r="G449" t="inlineStr">
        <is>
          <t>OSBY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58154-2024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46306</v>
      </c>
      <c r="F450" t="inlineStr">
        <is>
          <t>SKÅNE LÄN</t>
        </is>
      </c>
      <c r="G450" t="inlineStr">
        <is>
          <t>OSBY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45191-2024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45575</v>
      </c>
      <c r="E451" s="1" t="n">
        <v>46306</v>
      </c>
      <c r="F451" t="inlineStr">
        <is>
          <t>SKÅNE LÄN</t>
        </is>
      </c>
      <c r="G451" t="inlineStr">
        <is>
          <t>OSBY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46037</v>
      </c>
      <c r="E452" s="1" t="n">
        <v>46306</v>
      </c>
      <c r="F452" t="inlineStr">
        <is>
          <t>SKÅNE LÄN</t>
        </is>
      </c>
      <c r="G452" t="inlineStr">
        <is>
          <t>OSBY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46306</v>
      </c>
      <c r="F453" t="inlineStr">
        <is>
          <t>SKÅNE LÄN</t>
        </is>
      </c>
      <c r="G453" t="inlineStr">
        <is>
          <t>OSBY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46306</v>
      </c>
      <c r="F454" t="inlineStr">
        <is>
          <t>SKÅNE LÄN</t>
        </is>
      </c>
      <c r="G454" t="inlineStr">
        <is>
          <t>OSBY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24232-2023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45079</v>
      </c>
      <c r="E455" s="1" t="n">
        <v>46306</v>
      </c>
      <c r="F455" t="inlineStr">
        <is>
          <t>SKÅNE LÄN</t>
        </is>
      </c>
      <c r="G455" t="inlineStr">
        <is>
          <t>OSBY</t>
        </is>
      </c>
      <c r="H455" t="inlineStr">
        <is>
          <t>Kommuner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45011</v>
      </c>
      <c r="E456" s="1" t="n">
        <v>46306</v>
      </c>
      <c r="F456" t="inlineStr">
        <is>
          <t>SKÅNE LÄN</t>
        </is>
      </c>
      <c r="G456" t="inlineStr">
        <is>
          <t>OSBY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55292-2023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45237</v>
      </c>
      <c r="E457" s="1" t="n">
        <v>46306</v>
      </c>
      <c r="F457" t="inlineStr">
        <is>
          <t>SKÅNE LÄN</t>
        </is>
      </c>
      <c r="G457" t="inlineStr">
        <is>
          <t>OSBY</t>
        </is>
      </c>
      <c r="I457" t="n">
        <v>8.300000000000001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45936</v>
      </c>
      <c r="E458" s="1" t="n">
        <v>46306</v>
      </c>
      <c r="F458" t="inlineStr">
        <is>
          <t>SKÅNE LÄN</t>
        </is>
      </c>
      <c r="G458" t="inlineStr">
        <is>
          <t>OSBY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17824-2023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45037</v>
      </c>
      <c r="E459" s="1" t="n">
        <v>46306</v>
      </c>
      <c r="F459" t="inlineStr">
        <is>
          <t>SKÅNE LÄN</t>
        </is>
      </c>
      <c r="G459" t="inlineStr">
        <is>
          <t>OSBY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45546</v>
      </c>
      <c r="E460" s="1" t="n">
        <v>46306</v>
      </c>
      <c r="F460" t="inlineStr">
        <is>
          <t>SKÅNE LÄN</t>
        </is>
      </c>
      <c r="G460" t="inlineStr">
        <is>
          <t>OSBY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27758-2022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44743</v>
      </c>
      <c r="E461" s="1" t="n">
        <v>46306</v>
      </c>
      <c r="F461" t="inlineStr">
        <is>
          <t>SKÅNE LÄN</t>
        </is>
      </c>
      <c r="G461" t="inlineStr">
        <is>
          <t>OSBY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46306</v>
      </c>
      <c r="F462" t="inlineStr">
        <is>
          <t>SKÅNE LÄN</t>
        </is>
      </c>
      <c r="G462" t="inlineStr">
        <is>
          <t>OSBY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11808-2024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45375</v>
      </c>
      <c r="E463" s="1" t="n">
        <v>46306</v>
      </c>
      <c r="F463" t="inlineStr">
        <is>
          <t>SKÅNE LÄN</t>
        </is>
      </c>
      <c r="G463" t="inlineStr">
        <is>
          <t>OSBY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46306</v>
      </c>
      <c r="F464" t="inlineStr">
        <is>
          <t>SKÅNE LÄN</t>
        </is>
      </c>
      <c r="G464" t="inlineStr">
        <is>
          <t>OSBY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46306</v>
      </c>
      <c r="F465" t="inlineStr">
        <is>
          <t>SKÅNE LÄN</t>
        </is>
      </c>
      <c r="G465" t="inlineStr">
        <is>
          <t>OSBY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53894-2025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45961</v>
      </c>
      <c r="E466" s="1" t="n">
        <v>46306</v>
      </c>
      <c r="F466" t="inlineStr">
        <is>
          <t>SKÅNE LÄN</t>
        </is>
      </c>
      <c r="G466" t="inlineStr">
        <is>
          <t>OSBY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46306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46306</v>
      </c>
      <c r="F468" t="inlineStr">
        <is>
          <t>SKÅNE LÄN</t>
        </is>
      </c>
      <c r="G468" t="inlineStr">
        <is>
          <t>OSBY</t>
        </is>
      </c>
      <c r="H468" t="inlineStr">
        <is>
          <t>Kyrkan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22043-2026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46306</v>
      </c>
      <c r="F469" t="inlineStr">
        <is>
          <t>SKÅNE LÄN</t>
        </is>
      </c>
      <c r="G469" t="inlineStr">
        <is>
          <t>OSBY</t>
        </is>
      </c>
      <c r="H469" t="inlineStr">
        <is>
          <t>Sveaskog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46306</v>
      </c>
      <c r="F470" t="inlineStr">
        <is>
          <t>SKÅNE LÄN</t>
        </is>
      </c>
      <c r="G470" t="inlineStr">
        <is>
          <t>OSBY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46306</v>
      </c>
      <c r="F471" t="inlineStr">
        <is>
          <t>SKÅNE LÄN</t>
        </is>
      </c>
      <c r="G471" t="inlineStr">
        <is>
          <t>OSBY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22231-2026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46306</v>
      </c>
      <c r="F472" t="inlineStr">
        <is>
          <t>SKÅNE LÄN</t>
        </is>
      </c>
      <c r="G472" t="inlineStr">
        <is>
          <t>OSBY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46306</v>
      </c>
      <c r="F473" t="inlineStr">
        <is>
          <t>SKÅNE LÄN</t>
        </is>
      </c>
      <c r="G473" t="inlineStr">
        <is>
          <t>OSBY</t>
        </is>
      </c>
      <c r="H473" t="inlineStr">
        <is>
          <t>Kyrkan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22061-2026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46306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46306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46306</v>
      </c>
      <c r="F476" t="inlineStr">
        <is>
          <t>SKÅNE LÄN</t>
        </is>
      </c>
      <c r="G476" t="inlineStr">
        <is>
          <t>OSBY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45915</v>
      </c>
      <c r="E477" s="1" t="n">
        <v>46306</v>
      </c>
      <c r="F477" t="inlineStr">
        <is>
          <t>SKÅNE LÄN</t>
        </is>
      </c>
      <c r="G477" t="inlineStr">
        <is>
          <t>OSBY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46306</v>
      </c>
      <c r="F478" t="inlineStr">
        <is>
          <t>SKÅNE LÄN</t>
        </is>
      </c>
      <c r="G478" t="inlineStr">
        <is>
          <t>OSBY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46089</v>
      </c>
      <c r="E479" s="1" t="n">
        <v>46306</v>
      </c>
      <c r="F479" t="inlineStr">
        <is>
          <t>SKÅNE LÄN</t>
        </is>
      </c>
      <c r="G479" t="inlineStr">
        <is>
          <t>OSBY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46089</v>
      </c>
      <c r="E480" s="1" t="n">
        <v>46306</v>
      </c>
      <c r="F480" t="inlineStr">
        <is>
          <t>SKÅNE LÄN</t>
        </is>
      </c>
      <c r="G480" t="inlineStr">
        <is>
          <t>OSBY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46306</v>
      </c>
      <c r="F481" t="inlineStr">
        <is>
          <t>SKÅNE LÄN</t>
        </is>
      </c>
      <c r="G481" t="inlineStr">
        <is>
          <t>OSBY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46306</v>
      </c>
      <c r="F482" t="inlineStr">
        <is>
          <t>SKÅNE LÄN</t>
        </is>
      </c>
      <c r="G482" t="inlineStr">
        <is>
          <t>OSBY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24550-2026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46306</v>
      </c>
      <c r="F483" t="inlineStr">
        <is>
          <t>SKÅNE LÄN</t>
        </is>
      </c>
      <c r="G483" t="inlineStr">
        <is>
          <t>OSBY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25149-2026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46175</v>
      </c>
      <c r="E484" s="1" t="n">
        <v>46306</v>
      </c>
      <c r="F484" t="inlineStr">
        <is>
          <t>SKÅNE LÄN</t>
        </is>
      </c>
      <c r="G484" t="inlineStr">
        <is>
          <t>OSBY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46306</v>
      </c>
      <c r="F485" t="inlineStr">
        <is>
          <t>SKÅNE LÄN</t>
        </is>
      </c>
      <c r="G485" t="inlineStr">
        <is>
          <t>OSBY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46306</v>
      </c>
      <c r="F486" t="inlineStr">
        <is>
          <t>SKÅNE LÄN</t>
        </is>
      </c>
      <c r="G486" t="inlineStr">
        <is>
          <t>OSBY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46176</v>
      </c>
      <c r="E487" s="1" t="n">
        <v>46306</v>
      </c>
      <c r="F487" t="inlineStr">
        <is>
          <t>SKÅNE LÄN</t>
        </is>
      </c>
      <c r="G487" t="inlineStr">
        <is>
          <t>OSBY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46180</v>
      </c>
      <c r="E488" s="1" t="n">
        <v>46306</v>
      </c>
      <c r="F488" t="inlineStr">
        <is>
          <t>SKÅNE LÄN</t>
        </is>
      </c>
      <c r="G488" t="inlineStr">
        <is>
          <t>OSBY</t>
        </is>
      </c>
      <c r="H488" t="inlineStr">
        <is>
          <t>Sveaskog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46180</v>
      </c>
      <c r="E489" s="1" t="n">
        <v>46306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25677-2026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46306</v>
      </c>
      <c r="F490" t="inlineStr">
        <is>
          <t>SKÅNE LÄN</t>
        </is>
      </c>
      <c r="G490" t="inlineStr">
        <is>
          <t>OSBY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25934-2026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46180</v>
      </c>
      <c r="E491" s="1" t="n">
        <v>46306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26470-2026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46183</v>
      </c>
      <c r="E492" s="1" t="n">
        <v>46306</v>
      </c>
      <c r="F492" t="inlineStr">
        <is>
          <t>SKÅNE LÄN</t>
        </is>
      </c>
      <c r="G492" t="inlineStr">
        <is>
          <t>OSBY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26591-2026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46306</v>
      </c>
      <c r="F493" t="inlineStr">
        <is>
          <t>SKÅNE LÄN</t>
        </is>
      </c>
      <c r="G493" t="inlineStr">
        <is>
          <t>OSBY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26452-2026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46183</v>
      </c>
      <c r="E494" s="1" t="n">
        <v>46306</v>
      </c>
      <c r="F494" t="inlineStr">
        <is>
          <t>SKÅNE LÄN</t>
        </is>
      </c>
      <c r="G494" t="inlineStr">
        <is>
          <t>OSBY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46306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46306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27481-2026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46189</v>
      </c>
      <c r="E497" s="1" t="n">
        <v>46306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46306</v>
      </c>
      <c r="F498" t="inlineStr">
        <is>
          <t>SKÅNE LÄN</t>
        </is>
      </c>
      <c r="G498" t="inlineStr">
        <is>
          <t>OSBY</t>
        </is>
      </c>
      <c r="H498" t="inlineStr">
        <is>
          <t>Sveaskog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46306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46189</v>
      </c>
      <c r="E500" s="1" t="n">
        <v>46306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46306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46189</v>
      </c>
      <c r="E502" s="1" t="n">
        <v>46306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27476-2026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46189</v>
      </c>
      <c r="E503" s="1" t="n">
        <v>46306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46189</v>
      </c>
      <c r="E504" s="1" t="n">
        <v>46306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46189</v>
      </c>
      <c r="E505" s="1" t="n">
        <v>46306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27374-2026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46189</v>
      </c>
      <c r="E506" s="1" t="n">
        <v>46306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28623-2026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46306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46306</v>
      </c>
      <c r="F508" t="inlineStr">
        <is>
          <t>SKÅNE LÄN</t>
        </is>
      </c>
      <c r="G508" t="inlineStr">
        <is>
          <t>OSBY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29105-2026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46200</v>
      </c>
      <c r="E509" s="1" t="n">
        <v>46306</v>
      </c>
      <c r="F509" t="inlineStr">
        <is>
          <t>SKÅNE LÄN</t>
        </is>
      </c>
      <c r="G509" t="inlineStr">
        <is>
          <t>OSBY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28926-2026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46306</v>
      </c>
      <c r="F510" t="inlineStr">
        <is>
          <t>SKÅNE LÄN</t>
        </is>
      </c>
      <c r="G510" t="inlineStr">
        <is>
          <t>OSBY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46306</v>
      </c>
      <c r="F511" t="inlineStr">
        <is>
          <t>SKÅNE LÄN</t>
        </is>
      </c>
      <c r="G511" t="inlineStr">
        <is>
          <t>OSBY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30550-2026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46210</v>
      </c>
      <c r="E512" s="1" t="n">
        <v>46306</v>
      </c>
      <c r="F512" t="inlineStr">
        <is>
          <t>SKÅNE LÄN</t>
        </is>
      </c>
      <c r="G512" t="inlineStr">
        <is>
          <t>OSBY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46213</v>
      </c>
      <c r="E513" s="1" t="n">
        <v>46306</v>
      </c>
      <c r="F513" t="inlineStr">
        <is>
          <t>SKÅNE LÄN</t>
        </is>
      </c>
      <c r="G513" t="inlineStr">
        <is>
          <t>OSBY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46213</v>
      </c>
      <c r="E514" s="1" t="n">
        <v>46306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46306</v>
      </c>
      <c r="F515" t="inlineStr">
        <is>
          <t>SKÅNE LÄN</t>
        </is>
      </c>
      <c r="G515" t="inlineStr">
        <is>
          <t>OSBY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46266</v>
      </c>
      <c r="E516" s="1" t="n">
        <v>46306</v>
      </c>
      <c r="F516" t="inlineStr">
        <is>
          <t>SKÅNE LÄN</t>
        </is>
      </c>
      <c r="G516" t="inlineStr">
        <is>
          <t>OSBY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46306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46306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35959-2026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46266</v>
      </c>
      <c r="E519" s="1" t="n">
        <v>46306</v>
      </c>
      <c r="F519" t="inlineStr">
        <is>
          <t>SKÅNE LÄN</t>
        </is>
      </c>
      <c r="G519" t="inlineStr">
        <is>
          <t>OSBY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46306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46306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46306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46306</v>
      </c>
      <c r="F523" t="inlineStr">
        <is>
          <t>SKÅNE LÄN</t>
        </is>
      </c>
      <c r="G523" t="inlineStr">
        <is>
          <t>OSBY</t>
        </is>
      </c>
      <c r="H523" t="inlineStr">
        <is>
          <t>Sveaskog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46306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46306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46306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36080-2026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46306</v>
      </c>
      <c r="F527" t="inlineStr">
        <is>
          <t>SKÅNE LÄN</t>
        </is>
      </c>
      <c r="G527" t="inlineStr">
        <is>
          <t>OSBY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46306</v>
      </c>
      <c r="F528" t="inlineStr">
        <is>
          <t>SKÅNE LÄN</t>
        </is>
      </c>
      <c r="G528" t="inlineStr">
        <is>
          <t>OSBY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46306</v>
      </c>
      <c r="F529" t="inlineStr">
        <is>
          <t>SKÅNE LÄN</t>
        </is>
      </c>
      <c r="G529" t="inlineStr">
        <is>
          <t>OSBY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36347-2026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46268</v>
      </c>
      <c r="E530" s="1" t="n">
        <v>46306</v>
      </c>
      <c r="F530" t="inlineStr">
        <is>
          <t>SKÅNE LÄN</t>
        </is>
      </c>
      <c r="G530" t="inlineStr">
        <is>
          <t>OSBY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46306</v>
      </c>
      <c r="F531" t="inlineStr">
        <is>
          <t>SKÅNE LÄN</t>
        </is>
      </c>
      <c r="G531" t="inlineStr">
        <is>
          <t>OSBY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46276</v>
      </c>
      <c r="E532" s="1" t="n">
        <v>46306</v>
      </c>
      <c r="F532" t="inlineStr">
        <is>
          <t>SKÅNE LÄN</t>
        </is>
      </c>
      <c r="G532" t="inlineStr">
        <is>
          <t>OSBY</t>
        </is>
      </c>
      <c r="H532" t="inlineStr">
        <is>
          <t>Sveaskog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37501-2026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46275</v>
      </c>
      <c r="E533" s="1" t="n">
        <v>46306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37623-2026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46276</v>
      </c>
      <c r="E534" s="1" t="n">
        <v>46306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46282</v>
      </c>
      <c r="E535" s="1" t="n">
        <v>46306</v>
      </c>
      <c r="F535" t="inlineStr">
        <is>
          <t>SKÅNE LÄN</t>
        </is>
      </c>
      <c r="G535" t="inlineStr">
        <is>
          <t>OSBY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38493-2026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46282</v>
      </c>
      <c r="E536" s="1" t="n">
        <v>46306</v>
      </c>
      <c r="F536" t="inlineStr">
        <is>
          <t>SKÅNE LÄN</t>
        </is>
      </c>
      <c r="G536" t="inlineStr">
        <is>
          <t>OSBY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39781-2026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46306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39661-2026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46306</v>
      </c>
      <c r="F538" t="inlineStr">
        <is>
          <t>SKÅNE LÄN</t>
        </is>
      </c>
      <c r="G538" t="inlineStr">
        <is>
          <t>OSBY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39587-2026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46289</v>
      </c>
      <c r="E539" s="1" t="n">
        <v>46306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46253</v>
      </c>
      <c r="E540" s="1" t="n">
        <v>46306</v>
      </c>
      <c r="F540" t="inlineStr">
        <is>
          <t>SKÅNE LÄN</t>
        </is>
      </c>
      <c r="G540" t="inlineStr">
        <is>
          <t>OSBY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34310-2026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46306</v>
      </c>
      <c r="F541" t="inlineStr">
        <is>
          <t>SKÅNE LÄN</t>
        </is>
      </c>
      <c r="G541" t="inlineStr">
        <is>
          <t>OSBY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36059-2026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46306</v>
      </c>
      <c r="F542" t="inlineStr">
        <is>
          <t>SKÅNE LÄN</t>
        </is>
      </c>
      <c r="G542" t="inlineStr">
        <is>
          <t>OSBY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46247</v>
      </c>
      <c r="E543" s="1" t="n">
        <v>46306</v>
      </c>
      <c r="F543" t="inlineStr">
        <is>
          <t>SKÅNE LÄN</t>
        </is>
      </c>
      <c r="G543" t="inlineStr">
        <is>
          <t>OSBY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46302</v>
      </c>
      <c r="E544" s="1" t="n">
        <v>46306</v>
      </c>
      <c r="F544" t="inlineStr">
        <is>
          <t>SKÅNE LÄN</t>
        </is>
      </c>
      <c r="G544" t="inlineStr">
        <is>
          <t>OSBY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41645-2026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46302</v>
      </c>
      <c r="E545" s="1" t="n">
        <v>46306</v>
      </c>
      <c r="F545" t="inlineStr">
        <is>
          <t>SKÅNE LÄN</t>
        </is>
      </c>
      <c r="G545" t="inlineStr">
        <is>
          <t>OSBY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41981-2026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46303</v>
      </c>
      <c r="E546" s="1" t="n">
        <v>46306</v>
      </c>
      <c r="F546" t="inlineStr">
        <is>
          <t>SKÅNE LÄN</t>
        </is>
      </c>
      <c r="G546" t="inlineStr">
        <is>
          <t>OSBY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41908-2026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46303</v>
      </c>
      <c r="E547" s="1" t="n">
        <v>46306</v>
      </c>
      <c r="F547" t="inlineStr">
        <is>
          <t>SKÅNE LÄN</t>
        </is>
      </c>
      <c r="G547" t="inlineStr">
        <is>
          <t>OSBY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1800-2022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44656</v>
      </c>
      <c r="E548" s="1" t="n">
        <v>46306</v>
      </c>
      <c r="F548" t="inlineStr">
        <is>
          <t>SKÅNE LÄN</t>
        </is>
      </c>
      <c r="G548" t="inlineStr">
        <is>
          <t>OSBY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1439-2022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44635</v>
      </c>
      <c r="E549" s="1" t="n">
        <v>46306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3083-2022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44719</v>
      </c>
      <c r="E550" s="1" t="n">
        <v>46306</v>
      </c>
      <c r="F550" t="inlineStr">
        <is>
          <t>SKÅNE LÄN</t>
        </is>
      </c>
      <c r="G550" t="inlineStr">
        <is>
          <t>OSBY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1209-2022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44622</v>
      </c>
      <c r="E551" s="1" t="n">
        <v>46306</v>
      </c>
      <c r="F551" t="inlineStr">
        <is>
          <t>SKÅNE LÄN</t>
        </is>
      </c>
      <c r="G551" t="inlineStr">
        <is>
          <t>OSBY</t>
        </is>
      </c>
      <c r="I551" t="n">
        <v>18.1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3844-2024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45560</v>
      </c>
      <c r="E552" s="1" t="n">
        <v>46306</v>
      </c>
      <c r="F552" t="inlineStr">
        <is>
          <t>SKÅNE LÄN</t>
        </is>
      </c>
      <c r="G552" t="inlineStr">
        <is>
          <t>OSBY</t>
        </is>
      </c>
      <c r="I552" t="n">
        <v>16.1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131-2023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44938</v>
      </c>
      <c r="E553" s="1" t="n">
        <v>46306</v>
      </c>
      <c r="F553" t="inlineStr">
        <is>
          <t>SKÅNE LÄN</t>
        </is>
      </c>
      <c r="G553" t="inlineStr">
        <is>
          <t>OSBY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2563-2024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45476</v>
      </c>
      <c r="E554" s="1" t="n">
        <v>46306</v>
      </c>
      <c r="F554" t="inlineStr">
        <is>
          <t>SKÅNE LÄN</t>
        </is>
      </c>
      <c r="G554" t="inlineStr">
        <is>
          <t>OSBY</t>
        </is>
      </c>
      <c r="I554" t="n">
        <v>14.2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5546-2022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44837</v>
      </c>
      <c r="E555" s="1" t="n">
        <v>46306</v>
      </c>
      <c r="F555" t="inlineStr">
        <is>
          <t>SKÅNE LÄN</t>
        </is>
      </c>
      <c r="G555" t="inlineStr">
        <is>
          <t>OSBY</t>
        </is>
      </c>
      <c r="I555" t="n">
        <v>20.9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4342-2023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45264</v>
      </c>
      <c r="E556" s="1" t="n">
        <v>46306</v>
      </c>
      <c r="F556" t="inlineStr">
        <is>
          <t>SKÅNE LÄN</t>
        </is>
      </c>
      <c r="G556" t="inlineStr">
        <is>
          <t>OSBY</t>
        </is>
      </c>
      <c r="I556" t="n">
        <v>21.2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1261-2024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45400</v>
      </c>
      <c r="E557" s="1" t="n">
        <v>46306</v>
      </c>
      <c r="F557" t="inlineStr">
        <is>
          <t>SKÅNE LÄN</t>
        </is>
      </c>
      <c r="G557" t="inlineStr">
        <is>
          <t>OSBY</t>
        </is>
      </c>
      <c r="I557" t="n">
        <v>11.8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731-2024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45365</v>
      </c>
      <c r="E558" s="1" t="n">
        <v>46306</v>
      </c>
      <c r="F558" t="inlineStr">
        <is>
          <t>SKÅNE LÄN</t>
        </is>
      </c>
      <c r="G558" t="inlineStr">
        <is>
          <t>OSBY</t>
        </is>
      </c>
      <c r="I558" t="n">
        <v>15.3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4466-2023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45272</v>
      </c>
      <c r="E559" s="1" t="n">
        <v>46306</v>
      </c>
      <c r="F559" t="inlineStr">
        <is>
          <t>SKÅNE LÄN</t>
        </is>
      </c>
      <c r="G559" t="inlineStr">
        <is>
          <t>OSBY</t>
        </is>
      </c>
      <c r="I559" t="n">
        <v>28.5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4916-2024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45622</v>
      </c>
      <c r="E560" s="1" t="n">
        <v>46306</v>
      </c>
      <c r="F560" t="inlineStr">
        <is>
          <t>SKÅNE LÄN</t>
        </is>
      </c>
      <c r="G560" t="inlineStr">
        <is>
          <t>OSBY</t>
        </is>
      </c>
      <c r="I560" t="n">
        <v>30.9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4775-2022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46306</v>
      </c>
      <c r="F561" t="inlineStr">
        <is>
          <t>SKÅNE LÄN</t>
        </is>
      </c>
      <c r="G561" t="inlineStr">
        <is>
          <t>OSBY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4776-2022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44802</v>
      </c>
      <c r="E562" s="1" t="n">
        <v>46306</v>
      </c>
      <c r="F562" t="inlineStr">
        <is>
          <t>SKÅNE LÄN</t>
        </is>
      </c>
      <c r="G562" t="inlineStr">
        <is>
          <t>OSBY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5209-2022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44820</v>
      </c>
      <c r="E563" s="1" t="n">
        <v>46306</v>
      </c>
      <c r="F563" t="inlineStr">
        <is>
          <t>SKÅNE LÄN</t>
        </is>
      </c>
      <c r="G563" t="inlineStr">
        <is>
          <t>OSBY</t>
        </is>
      </c>
      <c r="I563" t="n">
        <v>55.8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3116-2023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45182</v>
      </c>
      <c r="E564" s="1" t="n">
        <v>46306</v>
      </c>
      <c r="F564" t="inlineStr">
        <is>
          <t>SKÅNE LÄN</t>
        </is>
      </c>
      <c r="G564" t="inlineStr">
        <is>
          <t>OSBY</t>
        </is>
      </c>
      <c r="I564" t="n">
        <v>35.3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4901-2022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44806</v>
      </c>
      <c r="E565" s="1" t="n">
        <v>46306</v>
      </c>
      <c r="F565" t="inlineStr">
        <is>
          <t>SKÅNE LÄN</t>
        </is>
      </c>
      <c r="G565" t="inlineStr">
        <is>
          <t>OSBY</t>
        </is>
      </c>
      <c r="I565" t="n">
        <v>18.5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2068-2024</t>
        </is>
      </c>
      <c r="B566" t="inlineStr">
        <is>
          <t>samrådsanmälan</t>
        </is>
      </c>
      <c r="C566" t="inlineStr">
        <is>
          <t>Dikesrensning</t>
        </is>
      </c>
      <c r="D566" s="1" t="n">
        <v>45453</v>
      </c>
      <c r="E566" s="1" t="n">
        <v>46306</v>
      </c>
      <c r="F566" t="inlineStr">
        <is>
          <t>SKÅNE LÄN</t>
        </is>
      </c>
      <c r="G566" t="inlineStr">
        <is>
          <t>OSBY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44952</v>
      </c>
      <c r="E567" s="1" t="n">
        <v>46306</v>
      </c>
      <c r="F567" t="inlineStr">
        <is>
          <t>SKÅNE LÄN</t>
        </is>
      </c>
      <c r="G567" t="inlineStr">
        <is>
          <t>OSBY</t>
        </is>
      </c>
      <c r="I567" t="n">
        <v>23.5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7874-2021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44482</v>
      </c>
      <c r="E568" s="1" t="n">
        <v>46306</v>
      </c>
      <c r="F568" t="inlineStr">
        <is>
          <t>SKÅNE LÄN</t>
        </is>
      </c>
      <c r="G568" t="inlineStr">
        <is>
          <t>OSBY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2418-2023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45124</v>
      </c>
      <c r="E569" s="1" t="n">
        <v>46306</v>
      </c>
      <c r="F569" t="inlineStr">
        <is>
          <t>SKÅNE LÄN</t>
        </is>
      </c>
      <c r="G569" t="inlineStr">
        <is>
          <t>OSBY</t>
        </is>
      </c>
      <c r="I569" t="n">
        <v>14.4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566-2024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45350</v>
      </c>
      <c r="E570" s="1" t="n">
        <v>46306</v>
      </c>
      <c r="F570" t="inlineStr">
        <is>
          <t>SKÅNE LÄN</t>
        </is>
      </c>
      <c r="G570" t="inlineStr">
        <is>
          <t>OSBY</t>
        </is>
      </c>
      <c r="I570" t="n">
        <v>17.2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798-2024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45370</v>
      </c>
      <c r="E571" s="1" t="n">
        <v>46306</v>
      </c>
      <c r="F571" t="inlineStr">
        <is>
          <t>SKÅNE LÄN</t>
        </is>
      </c>
      <c r="G571" t="inlineStr">
        <is>
          <t>OSBY</t>
        </is>
      </c>
      <c r="I571" t="n">
        <v>14.8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847-2024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45373</v>
      </c>
      <c r="E572" s="1" t="n">
        <v>46306</v>
      </c>
      <c r="F572" t="inlineStr">
        <is>
          <t>SKÅNE LÄN</t>
        </is>
      </c>
      <c r="G572" t="inlineStr">
        <is>
          <t>OSBY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4768-2022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44802</v>
      </c>
      <c r="E573" s="1" t="n">
        <v>46306</v>
      </c>
      <c r="F573" t="inlineStr">
        <is>
          <t>SKÅNE LÄN</t>
        </is>
      </c>
      <c r="G573" t="inlineStr">
        <is>
          <t>OSBY</t>
        </is>
      </c>
      <c r="I573" t="n">
        <v>15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976-2023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45005</v>
      </c>
      <c r="E574" s="1" t="n">
        <v>46306</v>
      </c>
      <c r="F574" t="inlineStr">
        <is>
          <t>SKÅNE LÄN</t>
        </is>
      </c>
      <c r="G574" t="inlineStr">
        <is>
          <t>OSBY</t>
        </is>
      </c>
      <c r="I574" t="n">
        <v>42.6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44938</v>
      </c>
      <c r="E575" s="1" t="n">
        <v>46306</v>
      </c>
      <c r="F575" t="inlineStr">
        <is>
          <t>SKÅNE LÄN</t>
        </is>
      </c>
      <c r="G575" t="inlineStr">
        <is>
          <t>OSBY</t>
        </is>
      </c>
      <c r="I575" t="n">
        <v>29.6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3280-2023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45194</v>
      </c>
      <c r="E576" s="1" t="n">
        <v>46306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4864-2022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44805</v>
      </c>
      <c r="E577" s="1" t="n">
        <v>46306</v>
      </c>
      <c r="F577" t="inlineStr">
        <is>
          <t>SKÅNE LÄN</t>
        </is>
      </c>
      <c r="G577" t="inlineStr">
        <is>
          <t>OSBY</t>
        </is>
      </c>
      <c r="I577" t="n">
        <v>22.1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6862-2022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44896</v>
      </c>
      <c r="E578" s="1" t="n">
        <v>46306</v>
      </c>
      <c r="F578" t="inlineStr">
        <is>
          <t>SKÅNE LÄN</t>
        </is>
      </c>
      <c r="G578" t="inlineStr">
        <is>
          <t>OSBY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5175-2024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45652</v>
      </c>
      <c r="E579" s="1" t="n">
        <v>46306</v>
      </c>
      <c r="F579" t="inlineStr">
        <is>
          <t>SKÅNE LÄN</t>
        </is>
      </c>
      <c r="G579" t="inlineStr">
        <is>
          <t>OSBY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884-2025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45735</v>
      </c>
      <c r="E580" s="1" t="n">
        <v>46306</v>
      </c>
      <c r="F580" t="inlineStr">
        <is>
          <t>SKÅNE LÄN</t>
        </is>
      </c>
      <c r="G580" t="inlineStr">
        <is>
          <t>OSBY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910-2025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45737</v>
      </c>
      <c r="E581" s="1" t="n">
        <v>46306</v>
      </c>
      <c r="F581" t="inlineStr">
        <is>
          <t>SKÅNE LÄN</t>
        </is>
      </c>
      <c r="G581" t="inlineStr">
        <is>
          <t>OSBY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2812-2025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46306</v>
      </c>
      <c r="F582" t="inlineStr">
        <is>
          <t>SKÅNE LÄN</t>
        </is>
      </c>
      <c r="G582" t="inlineStr">
        <is>
          <t>OSBY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2813-2025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45939</v>
      </c>
      <c r="E583" s="1" t="n">
        <v>46306</v>
      </c>
      <c r="F583" t="inlineStr">
        <is>
          <t>SKÅNE LÄN</t>
        </is>
      </c>
      <c r="G583" t="inlineStr">
        <is>
          <t>OSBY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3221-2025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45980</v>
      </c>
      <c r="E584" s="1" t="n">
        <v>46306</v>
      </c>
      <c r="F584" t="inlineStr">
        <is>
          <t>SKÅNE LÄN</t>
        </is>
      </c>
      <c r="G584" t="inlineStr">
        <is>
          <t>OSBY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46030</v>
      </c>
      <c r="E585" s="1" t="n">
        <v>46306</v>
      </c>
      <c r="F585" t="inlineStr">
        <is>
          <t>SKÅNE LÄN</t>
        </is>
      </c>
      <c r="G585" t="inlineStr">
        <is>
          <t>OSBY</t>
        </is>
      </c>
      <c r="I585" t="n">
        <v>11.5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222-2026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46049</v>
      </c>
      <c r="E586" s="1" t="n">
        <v>46306</v>
      </c>
      <c r="F586" t="inlineStr">
        <is>
          <t>SKÅNE LÄN</t>
        </is>
      </c>
      <c r="G586" t="inlineStr">
        <is>
          <t>OSBY</t>
        </is>
      </c>
      <c r="I586" t="n">
        <v>26.8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815-2026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46104</v>
      </c>
      <c r="E587" s="1" t="n">
        <v>46306</v>
      </c>
      <c r="F587" t="inlineStr">
        <is>
          <t>SKÅNE LÄN</t>
        </is>
      </c>
      <c r="G587" t="inlineStr">
        <is>
          <t>OSBY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1131-2026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46306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1126-2026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46134</v>
      </c>
      <c r="E589" s="1" t="n">
        <v>46306</v>
      </c>
      <c r="F589" t="inlineStr">
        <is>
          <t>SKÅNE LÄN</t>
        </is>
      </c>
      <c r="G589" t="inlineStr">
        <is>
          <t>OSBY</t>
        </is>
      </c>
      <c r="I589" t="n">
        <v>11.6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2026-10-11T02:04:26Z</dcterms:created>
  <dcterms:modified xmlns:dcterms="http://purl.org/dc/terms/" xmlns:xsi="http://www.w3.org/2001/XMLSchema-instance" xsi:type="dcterms:W3CDTF">2026-10-11T02:04:27Z</dcterms:modified>
</cp:coreProperties>
</file>