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45938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45938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45938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45938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45938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45938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45938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46477-2025</t>
        </is>
      </c>
      <c r="B15" s="1" t="n">
        <v>45925.69354166667</v>
      </c>
      <c r="C15" s="1" t="n">
        <v>45938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HYPERLINK("https://klasma.github.io/Logging_1273/artfynd/A 46477-2025 artfynd.xlsx", "A 46477-2025")</f>
        <v/>
      </c>
      <c r="T15">
        <f>HYPERLINK("https://klasma.github.io/Logging_1273/kartor/A 46477-2025 karta.png", "A 46477-2025")</f>
        <v/>
      </c>
      <c r="V15">
        <f>HYPERLINK("https://klasma.github.io/Logging_1273/klagomål/A 46477-2025 FSC-klagomål.docx", "A 46477-2025")</f>
        <v/>
      </c>
      <c r="W15">
        <f>HYPERLINK("https://klasma.github.io/Logging_1273/klagomålsmail/A 46477-2025 FSC-klagomål mail.docx", "A 46477-2025")</f>
        <v/>
      </c>
      <c r="X15">
        <f>HYPERLINK("https://klasma.github.io/Logging_1273/tillsyn/A 46477-2025 tillsynsbegäran.docx", "A 46477-2025")</f>
        <v/>
      </c>
      <c r="Y15">
        <f>HYPERLINK("https://klasma.github.io/Logging_1273/tillsynsmail/A 46477-2025 tillsynsbegäran mail.docx", "A 46477-2025")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45938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45938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45938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45938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45938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45938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10056-2024</t>
        </is>
      </c>
      <c r="B22" s="1" t="n">
        <v>45364</v>
      </c>
      <c r="C22" s="1" t="n">
        <v>45938</v>
      </c>
      <c r="D22" t="inlineStr">
        <is>
          <t>SKÅNE LÄN</t>
        </is>
      </c>
      <c r="E22" t="inlineStr">
        <is>
          <t>OSBY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HYPERLINK("https://klasma.github.io/Logging_1273/artfynd/A 10056-2024 artfynd.xlsx", "A 10056-2024")</f>
        <v/>
      </c>
      <c r="T22">
        <f>HYPERLINK("https://klasma.github.io/Logging_1273/kartor/A 10056-2024 karta.png", "A 10056-2024")</f>
        <v/>
      </c>
      <c r="V22">
        <f>HYPERLINK("https://klasma.github.io/Logging_1273/klagomål/A 10056-2024 FSC-klagomål.docx", "A 10056-2024")</f>
        <v/>
      </c>
      <c r="W22">
        <f>HYPERLINK("https://klasma.github.io/Logging_1273/klagomålsmail/A 10056-2024 FSC-klagomål mail.docx", "A 10056-2024")</f>
        <v/>
      </c>
      <c r="X22">
        <f>HYPERLINK("https://klasma.github.io/Logging_1273/tillsyn/A 10056-2024 tillsynsbegäran.docx", "A 10056-2024")</f>
        <v/>
      </c>
      <c r="Y22">
        <f>HYPERLINK("https://klasma.github.io/Logging_1273/tillsynsmail/A 10056-2024 tillsynsbegäran mail.docx", "A 10056-2024")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45938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45938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45938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43026-2021</t>
        </is>
      </c>
      <c r="B26" s="1" t="n">
        <v>44431.49028935185</v>
      </c>
      <c r="C26" s="1" t="n">
        <v>45938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45938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45938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45938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45938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45938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45938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45938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45938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45938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45938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45938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45938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45938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45938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45938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45938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45938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45938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51345-2021</t>
        </is>
      </c>
      <c r="B47" s="1" t="n">
        <v>44461.64192129629</v>
      </c>
      <c r="C47" s="1" t="n">
        <v>45938</v>
      </c>
      <c r="D47" t="inlineStr">
        <is>
          <t>SKÅNE LÄN</t>
        </is>
      </c>
      <c r="E47" t="inlineStr">
        <is>
          <t>OSBY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45938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45938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45938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45938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45938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45938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45938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45938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45938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45938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45938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45938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45938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45938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45938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45938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45938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45938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45938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45938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45938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45938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45938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45938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45938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45938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45938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45938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45938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45938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45938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45938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45938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45938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30564-2022</t>
        </is>
      </c>
      <c r="B86" s="1" t="n">
        <v>44762.58835648148</v>
      </c>
      <c r="C86" s="1" t="n">
        <v>45938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45938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45938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45938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45938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45938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45938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45938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45938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45938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45938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45938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45938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45938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45938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45938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45938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45938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45938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45938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45938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45938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45938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45938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45938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45938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73920-2021</t>
        </is>
      </c>
      <c r="B112" s="1" t="n">
        <v>44553</v>
      </c>
      <c r="C112" s="1" t="n">
        <v>45938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53658-2020</t>
        </is>
      </c>
      <c r="B113" s="1" t="n">
        <v>44124.53773148148</v>
      </c>
      <c r="C113" s="1" t="n">
        <v>45938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44628-2021</t>
        </is>
      </c>
      <c r="B114" s="1" t="n">
        <v>44437.28954861111</v>
      </c>
      <c r="C114" s="1" t="n">
        <v>45938</v>
      </c>
      <c r="D114" t="inlineStr">
        <is>
          <t>SKÅNE LÄN</t>
        </is>
      </c>
      <c r="E114" t="inlineStr">
        <is>
          <t>OSBY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43855-2021</t>
        </is>
      </c>
      <c r="B115" s="1" t="n">
        <v>44434</v>
      </c>
      <c r="C115" s="1" t="n">
        <v>45938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45108-2022</t>
        </is>
      </c>
      <c r="B116" s="1" t="n">
        <v>44843</v>
      </c>
      <c r="C116" s="1" t="n">
        <v>45938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8248-2022</t>
        </is>
      </c>
      <c r="B117" s="1" t="n">
        <v>44609</v>
      </c>
      <c r="C117" s="1" t="n">
        <v>45938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57956-2020</t>
        </is>
      </c>
      <c r="B118" s="1" t="n">
        <v>44143</v>
      </c>
      <c r="C118" s="1" t="n">
        <v>45938</v>
      </c>
      <c r="D118" t="inlineStr">
        <is>
          <t>SKÅNE LÄN</t>
        </is>
      </c>
      <c r="E118" t="inlineStr">
        <is>
          <t>OSBY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16056-2022</t>
        </is>
      </c>
      <c r="B119" s="1" t="n">
        <v>44665.48672453704</v>
      </c>
      <c r="C119" s="1" t="n">
        <v>45938</v>
      </c>
      <c r="D119" t="inlineStr">
        <is>
          <t>SKÅNE LÄN</t>
        </is>
      </c>
      <c r="E119" t="inlineStr">
        <is>
          <t>OSBY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3834-2021</t>
        </is>
      </c>
      <c r="B120" s="1" t="n">
        <v>44217</v>
      </c>
      <c r="C120" s="1" t="n">
        <v>45938</v>
      </c>
      <c r="D120" t="inlineStr">
        <is>
          <t>SKÅNE LÄN</t>
        </is>
      </c>
      <c r="E120" t="inlineStr">
        <is>
          <t>OSBY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20634-2022</t>
        </is>
      </c>
      <c r="B121" s="1" t="n">
        <v>44700.57378472222</v>
      </c>
      <c r="C121" s="1" t="n">
        <v>45938</v>
      </c>
      <c r="D121" t="inlineStr">
        <is>
          <t>SKÅNE LÄN</t>
        </is>
      </c>
      <c r="E121" t="inlineStr">
        <is>
          <t>OSBY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62648-2020</t>
        </is>
      </c>
      <c r="B122" s="1" t="n">
        <v>44161</v>
      </c>
      <c r="C122" s="1" t="n">
        <v>45938</v>
      </c>
      <c r="D122" t="inlineStr">
        <is>
          <t>SKÅNE LÄN</t>
        </is>
      </c>
      <c r="E122" t="inlineStr">
        <is>
          <t>OSBY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28227-2021</t>
        </is>
      </c>
      <c r="B123" s="1" t="n">
        <v>44355.65476851852</v>
      </c>
      <c r="C123" s="1" t="n">
        <v>45938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5537-2021</t>
        </is>
      </c>
      <c r="B124" s="1" t="n">
        <v>44228</v>
      </c>
      <c r="C124" s="1" t="n">
        <v>45938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8794-2022</t>
        </is>
      </c>
      <c r="B125" s="1" t="n">
        <v>44614</v>
      </c>
      <c r="C125" s="1" t="n">
        <v>45938</v>
      </c>
      <c r="D125" t="inlineStr">
        <is>
          <t>SKÅNE LÄN</t>
        </is>
      </c>
      <c r="E125" t="inlineStr">
        <is>
          <t>OSBY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53917-2021</t>
        </is>
      </c>
      <c r="B126" s="1" t="n">
        <v>44469.78644675926</v>
      </c>
      <c r="C126" s="1" t="n">
        <v>45938</v>
      </c>
      <c r="D126" t="inlineStr">
        <is>
          <t>SKÅNE LÄN</t>
        </is>
      </c>
      <c r="E126" t="inlineStr">
        <is>
          <t>OSBY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1466-2022</t>
        </is>
      </c>
      <c r="B127" s="1" t="n">
        <v>44573.49446759259</v>
      </c>
      <c r="C127" s="1" t="n">
        <v>45938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1607-2022</t>
        </is>
      </c>
      <c r="B128" s="1" t="n">
        <v>44573</v>
      </c>
      <c r="C128" s="1" t="n">
        <v>45938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53935-2021</t>
        </is>
      </c>
      <c r="B129" s="1" t="n">
        <v>44469.84310185185</v>
      </c>
      <c r="C129" s="1" t="n">
        <v>45938</v>
      </c>
      <c r="D129" t="inlineStr">
        <is>
          <t>SKÅNE LÄN</t>
        </is>
      </c>
      <c r="E129" t="inlineStr">
        <is>
          <t>OSBY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21615-2021</t>
        </is>
      </c>
      <c r="B130" s="1" t="n">
        <v>44321</v>
      </c>
      <c r="C130" s="1" t="n">
        <v>45938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3113-2021</t>
        </is>
      </c>
      <c r="B131" s="1" t="n">
        <v>44217</v>
      </c>
      <c r="C131" s="1" t="n">
        <v>45938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33489-2022</t>
        </is>
      </c>
      <c r="B132" s="1" t="n">
        <v>44788.83469907408</v>
      </c>
      <c r="C132" s="1" t="n">
        <v>45938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34995-2021</t>
        </is>
      </c>
      <c r="B133" s="1" t="n">
        <v>44383</v>
      </c>
      <c r="C133" s="1" t="n">
        <v>45938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15570-2022</t>
        </is>
      </c>
      <c r="B134" s="1" t="n">
        <v>44662</v>
      </c>
      <c r="C134" s="1" t="n">
        <v>45938</v>
      </c>
      <c r="D134" t="inlineStr">
        <is>
          <t>SKÅNE LÄN</t>
        </is>
      </c>
      <c r="E134" t="inlineStr">
        <is>
          <t>OSBY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43856-2021</t>
        </is>
      </c>
      <c r="B135" s="1" t="n">
        <v>44434</v>
      </c>
      <c r="C135" s="1" t="n">
        <v>45938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3402-2021</t>
        </is>
      </c>
      <c r="B136" s="1" t="n">
        <v>44218.42267361111</v>
      </c>
      <c r="C136" s="1" t="n">
        <v>45938</v>
      </c>
      <c r="D136" t="inlineStr">
        <is>
          <t>SKÅNE LÄN</t>
        </is>
      </c>
      <c r="E136" t="inlineStr">
        <is>
          <t>OSBY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8865-2021</t>
        </is>
      </c>
      <c r="B137" s="1" t="n">
        <v>44247</v>
      </c>
      <c r="C137" s="1" t="n">
        <v>45938</v>
      </c>
      <c r="D137" t="inlineStr">
        <is>
          <t>SKÅNE LÄN</t>
        </is>
      </c>
      <c r="E137" t="inlineStr">
        <is>
          <t>OSBY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8966-2021</t>
        </is>
      </c>
      <c r="B138" s="1" t="n">
        <v>44246</v>
      </c>
      <c r="C138" s="1" t="n">
        <v>45938</v>
      </c>
      <c r="D138" t="inlineStr">
        <is>
          <t>SKÅNE LÄN</t>
        </is>
      </c>
      <c r="E138" t="inlineStr">
        <is>
          <t>OSBY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53159-2020</t>
        </is>
      </c>
      <c r="B139" s="1" t="n">
        <v>44120</v>
      </c>
      <c r="C139" s="1" t="n">
        <v>45938</v>
      </c>
      <c r="D139" t="inlineStr">
        <is>
          <t>SKÅNE LÄN</t>
        </is>
      </c>
      <c r="E139" t="inlineStr">
        <is>
          <t>OSBY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62111-2020</t>
        </is>
      </c>
      <c r="B140" s="1" t="n">
        <v>44159.61994212963</v>
      </c>
      <c r="C140" s="1" t="n">
        <v>45938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45938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15886-2025</t>
        </is>
      </c>
      <c r="B142" s="1" t="n">
        <v>45749.39572916667</v>
      </c>
      <c r="C142" s="1" t="n">
        <v>45938</v>
      </c>
      <c r="D142" t="inlineStr">
        <is>
          <t>SKÅNE LÄN</t>
        </is>
      </c>
      <c r="E142" t="inlineStr">
        <is>
          <t>OSBY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58344-2024</t>
        </is>
      </c>
      <c r="B143" s="1" t="n">
        <v>45632.64607638889</v>
      </c>
      <c r="C143" s="1" t="n">
        <v>45938</v>
      </c>
      <c r="D143" t="inlineStr">
        <is>
          <t>SKÅNE LÄN</t>
        </is>
      </c>
      <c r="E143" t="inlineStr">
        <is>
          <t>OSBY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10775-2024</t>
        </is>
      </c>
      <c r="B144" s="1" t="n">
        <v>45369.58465277778</v>
      </c>
      <c r="C144" s="1" t="n">
        <v>45938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22653-2024</t>
        </is>
      </c>
      <c r="B145" s="1" t="n">
        <v>45447.91608796296</v>
      </c>
      <c r="C145" s="1" t="n">
        <v>45938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42031-2022</t>
        </is>
      </c>
      <c r="B146" s="1" t="n">
        <v>44830.47840277778</v>
      </c>
      <c r="C146" s="1" t="n">
        <v>45938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42034-2022</t>
        </is>
      </c>
      <c r="B147" s="1" t="n">
        <v>44830.4819212963</v>
      </c>
      <c r="C147" s="1" t="n">
        <v>45938</v>
      </c>
      <c r="D147" t="inlineStr">
        <is>
          <t>SKÅNE LÄN</t>
        </is>
      </c>
      <c r="E147" t="inlineStr">
        <is>
          <t>OSBY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23470-2024</t>
        </is>
      </c>
      <c r="B148" s="1" t="n">
        <v>45453</v>
      </c>
      <c r="C148" s="1" t="n">
        <v>45938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23476-2024</t>
        </is>
      </c>
      <c r="B149" s="1" t="n">
        <v>45453</v>
      </c>
      <c r="C149" s="1" t="n">
        <v>45938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26928-2021</t>
        </is>
      </c>
      <c r="B150" s="1" t="n">
        <v>44349.71498842593</v>
      </c>
      <c r="C150" s="1" t="n">
        <v>45938</v>
      </c>
      <c r="D150" t="inlineStr">
        <is>
          <t>SKÅNE LÄN</t>
        </is>
      </c>
      <c r="E150" t="inlineStr">
        <is>
          <t>OSBY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47803-2021</t>
        </is>
      </c>
      <c r="B151" s="1" t="n">
        <v>44448.61173611111</v>
      </c>
      <c r="C151" s="1" t="n">
        <v>45938</v>
      </c>
      <c r="D151" t="inlineStr">
        <is>
          <t>SKÅNE LÄN</t>
        </is>
      </c>
      <c r="E151" t="inlineStr">
        <is>
          <t>OSBY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35901-2022</t>
        </is>
      </c>
      <c r="B152" s="1" t="n">
        <v>44802.48579861111</v>
      </c>
      <c r="C152" s="1" t="n">
        <v>45938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35290-2021</t>
        </is>
      </c>
      <c r="B153" s="1" t="n">
        <v>44384.66334490741</v>
      </c>
      <c r="C153" s="1" t="n">
        <v>45938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3472-2021</t>
        </is>
      </c>
      <c r="B154" s="1" t="n">
        <v>44218</v>
      </c>
      <c r="C154" s="1" t="n">
        <v>45938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52196-2021</t>
        </is>
      </c>
      <c r="B155" s="1" t="n">
        <v>44463</v>
      </c>
      <c r="C155" s="1" t="n">
        <v>45938</v>
      </c>
      <c r="D155" t="inlineStr">
        <is>
          <t>SKÅNE LÄN</t>
        </is>
      </c>
      <c r="E155" t="inlineStr">
        <is>
          <t>OSBY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36899-2022</t>
        </is>
      </c>
      <c r="B156" s="1" t="n">
        <v>44805.71230324074</v>
      </c>
      <c r="C156" s="1" t="n">
        <v>45938</v>
      </c>
      <c r="D156" t="inlineStr">
        <is>
          <t>SKÅNE LÄN</t>
        </is>
      </c>
      <c r="E156" t="inlineStr">
        <is>
          <t>OSBY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45938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33487-2022</t>
        </is>
      </c>
      <c r="B158" s="1" t="n">
        <v>44788.82988425926</v>
      </c>
      <c r="C158" s="1" t="n">
        <v>45938</v>
      </c>
      <c r="D158" t="inlineStr">
        <is>
          <t>SKÅNE LÄN</t>
        </is>
      </c>
      <c r="E158" t="inlineStr">
        <is>
          <t>OSBY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23601-2022</t>
        </is>
      </c>
      <c r="B159" s="1" t="n">
        <v>44721.57989583333</v>
      </c>
      <c r="C159" s="1" t="n">
        <v>45938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43175-2022</t>
        </is>
      </c>
      <c r="B160" s="1" t="n">
        <v>44834</v>
      </c>
      <c r="C160" s="1" t="n">
        <v>45938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42497-2022</t>
        </is>
      </c>
      <c r="B161" s="1" t="n">
        <v>44831.56995370371</v>
      </c>
      <c r="C161" s="1" t="n">
        <v>45938</v>
      </c>
      <c r="D161" t="inlineStr">
        <is>
          <t>SKÅNE LÄN</t>
        </is>
      </c>
      <c r="E161" t="inlineStr">
        <is>
          <t>OSBY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55572-2021</t>
        </is>
      </c>
      <c r="B162" s="1" t="n">
        <v>44475</v>
      </c>
      <c r="C162" s="1" t="n">
        <v>45938</v>
      </c>
      <c r="D162" t="inlineStr">
        <is>
          <t>SKÅNE LÄN</t>
        </is>
      </c>
      <c r="E162" t="inlineStr">
        <is>
          <t>OSBY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54187-2022</t>
        </is>
      </c>
      <c r="B163" s="1" t="n">
        <v>44881.67839120371</v>
      </c>
      <c r="C163" s="1" t="n">
        <v>45938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57990-2022</t>
        </is>
      </c>
      <c r="B164" s="1" t="n">
        <v>44900.48835648148</v>
      </c>
      <c r="C164" s="1" t="n">
        <v>45938</v>
      </c>
      <c r="D164" t="inlineStr">
        <is>
          <t>SKÅNE LÄN</t>
        </is>
      </c>
      <c r="E164" t="inlineStr">
        <is>
          <t>OSBY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7086-2023</t>
        </is>
      </c>
      <c r="B165" s="1" t="n">
        <v>44965</v>
      </c>
      <c r="C165" s="1" t="n">
        <v>45938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65640-2020</t>
        </is>
      </c>
      <c r="B166" s="1" t="n">
        <v>44174</v>
      </c>
      <c r="C166" s="1" t="n">
        <v>45938</v>
      </c>
      <c r="D166" t="inlineStr">
        <is>
          <t>SKÅNE LÄN</t>
        </is>
      </c>
      <c r="E166" t="inlineStr">
        <is>
          <t>OSBY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8371-2022</t>
        </is>
      </c>
      <c r="B167" s="1" t="n">
        <v>44610</v>
      </c>
      <c r="C167" s="1" t="n">
        <v>45938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1222-2023</t>
        </is>
      </c>
      <c r="B168" s="1" t="n">
        <v>44935.94474537037</v>
      </c>
      <c r="C168" s="1" t="n">
        <v>45938</v>
      </c>
      <c r="D168" t="inlineStr">
        <is>
          <t>SKÅNE LÄN</t>
        </is>
      </c>
      <c r="E168" t="inlineStr">
        <is>
          <t>OSBY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38486-2023</t>
        </is>
      </c>
      <c r="B169" s="1" t="n">
        <v>45162.48063657407</v>
      </c>
      <c r="C169" s="1" t="n">
        <v>45938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64161-2020</t>
        </is>
      </c>
      <c r="B170" s="1" t="n">
        <v>44167</v>
      </c>
      <c r="C170" s="1" t="n">
        <v>45938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23813-2023</t>
        </is>
      </c>
      <c r="B171" s="1" t="n">
        <v>45078</v>
      </c>
      <c r="C171" s="1" t="n">
        <v>45938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64469-2021</t>
        </is>
      </c>
      <c r="B172" s="1" t="n">
        <v>44511</v>
      </c>
      <c r="C172" s="1" t="n">
        <v>45938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9670-2023</t>
        </is>
      </c>
      <c r="B173" s="1" t="n">
        <v>44978</v>
      </c>
      <c r="C173" s="1" t="n">
        <v>45938</v>
      </c>
      <c r="D173" t="inlineStr">
        <is>
          <t>SKÅNE LÄN</t>
        </is>
      </c>
      <c r="E173" t="inlineStr">
        <is>
          <t>OSBY</t>
        </is>
      </c>
      <c r="F173" t="inlineStr">
        <is>
          <t>Naturvårdsverket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54544-2020</t>
        </is>
      </c>
      <c r="B174" s="1" t="n">
        <v>44126</v>
      </c>
      <c r="C174" s="1" t="n">
        <v>45938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21656-2023</t>
        </is>
      </c>
      <c r="B175" s="1" t="n">
        <v>45063.80594907407</v>
      </c>
      <c r="C175" s="1" t="n">
        <v>45938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40524-2022</t>
        </is>
      </c>
      <c r="B176" s="1" t="n">
        <v>44823.62825231482</v>
      </c>
      <c r="C176" s="1" t="n">
        <v>45938</v>
      </c>
      <c r="D176" t="inlineStr">
        <is>
          <t>SKÅNE LÄN</t>
        </is>
      </c>
      <c r="E176" t="inlineStr">
        <is>
          <t>OSBY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57669-2020</t>
        </is>
      </c>
      <c r="B177" s="1" t="n">
        <v>44140</v>
      </c>
      <c r="C177" s="1" t="n">
        <v>45938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46246-2023</t>
        </is>
      </c>
      <c r="B178" s="1" t="n">
        <v>45196.85282407407</v>
      </c>
      <c r="C178" s="1" t="n">
        <v>45938</v>
      </c>
      <c r="D178" t="inlineStr">
        <is>
          <t>SKÅNE LÄN</t>
        </is>
      </c>
      <c r="E178" t="inlineStr">
        <is>
          <t>OSBY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57222-2022</t>
        </is>
      </c>
      <c r="B179" s="1" t="n">
        <v>44895.66276620371</v>
      </c>
      <c r="C179" s="1" t="n">
        <v>45938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7947-2025</t>
        </is>
      </c>
      <c r="B180" s="1" t="n">
        <v>45707.41185185185</v>
      </c>
      <c r="C180" s="1" t="n">
        <v>45938</v>
      </c>
      <c r="D180" t="inlineStr">
        <is>
          <t>SKÅNE LÄN</t>
        </is>
      </c>
      <c r="E180" t="inlineStr">
        <is>
          <t>OSBY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30213-2022</t>
        </is>
      </c>
      <c r="B181" s="1" t="n">
        <v>44757</v>
      </c>
      <c r="C181" s="1" t="n">
        <v>45938</v>
      </c>
      <c r="D181" t="inlineStr">
        <is>
          <t>SKÅNE LÄN</t>
        </is>
      </c>
      <c r="E181" t="inlineStr">
        <is>
          <t>OSBY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4496-2025</t>
        </is>
      </c>
      <c r="B182" s="1" t="n">
        <v>45686.67221064815</v>
      </c>
      <c r="C182" s="1" t="n">
        <v>45938</v>
      </c>
      <c r="D182" t="inlineStr">
        <is>
          <t>SKÅNE LÄN</t>
        </is>
      </c>
      <c r="E182" t="inlineStr">
        <is>
          <t>OSBY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4011-2024</t>
        </is>
      </c>
      <c r="B183" s="1" t="n">
        <v>45323</v>
      </c>
      <c r="C183" s="1" t="n">
        <v>45938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41322-2021</t>
        </is>
      </c>
      <c r="B184" s="1" t="n">
        <v>44424</v>
      </c>
      <c r="C184" s="1" t="n">
        <v>45938</v>
      </c>
      <c r="D184" t="inlineStr">
        <is>
          <t>SKÅNE LÄN</t>
        </is>
      </c>
      <c r="E184" t="inlineStr">
        <is>
          <t>OSBY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121-2021</t>
        </is>
      </c>
      <c r="B185" s="1" t="n">
        <v>44200.45394675926</v>
      </c>
      <c r="C185" s="1" t="n">
        <v>45938</v>
      </c>
      <c r="D185" t="inlineStr">
        <is>
          <t>SKÅNE LÄN</t>
        </is>
      </c>
      <c r="E185" t="inlineStr">
        <is>
          <t>OSBY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3875-2023</t>
        </is>
      </c>
      <c r="B186" s="1" t="n">
        <v>44951.85590277778</v>
      </c>
      <c r="C186" s="1" t="n">
        <v>45938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10711-2024</t>
        </is>
      </c>
      <c r="B187" s="1" t="n">
        <v>45369.44048611111</v>
      </c>
      <c r="C187" s="1" t="n">
        <v>45938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50675-2023</t>
        </is>
      </c>
      <c r="B188" s="1" t="n">
        <v>45217</v>
      </c>
      <c r="C188" s="1" t="n">
        <v>45938</v>
      </c>
      <c r="D188" t="inlineStr">
        <is>
          <t>SKÅNE LÄN</t>
        </is>
      </c>
      <c r="E188" t="inlineStr">
        <is>
          <t>OSBY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10967-2024</t>
        </is>
      </c>
      <c r="B189" s="1" t="n">
        <v>45370.50613425926</v>
      </c>
      <c r="C189" s="1" t="n">
        <v>45938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56998-2024</t>
        </is>
      </c>
      <c r="B190" s="1" t="n">
        <v>45628.72</v>
      </c>
      <c r="C190" s="1" t="n">
        <v>45938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6397-2021</t>
        </is>
      </c>
      <c r="B191" s="1" t="n">
        <v>44235</v>
      </c>
      <c r="C191" s="1" t="n">
        <v>45938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74050-2021</t>
        </is>
      </c>
      <c r="B192" s="1" t="n">
        <v>44557.49318287037</v>
      </c>
      <c r="C192" s="1" t="n">
        <v>45938</v>
      </c>
      <c r="D192" t="inlineStr">
        <is>
          <t>SKÅNE LÄN</t>
        </is>
      </c>
      <c r="E192" t="inlineStr">
        <is>
          <t>OSBY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17675-2023</t>
        </is>
      </c>
      <c r="B193" s="1" t="n">
        <v>45035</v>
      </c>
      <c r="C193" s="1" t="n">
        <v>45938</v>
      </c>
      <c r="D193" t="inlineStr">
        <is>
          <t>SKÅNE LÄN</t>
        </is>
      </c>
      <c r="E193" t="inlineStr">
        <is>
          <t>OSBY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17824-2023</t>
        </is>
      </c>
      <c r="B194" s="1" t="n">
        <v>45037.59636574074</v>
      </c>
      <c r="C194" s="1" t="n">
        <v>45938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45420-2023</t>
        </is>
      </c>
      <c r="B195" s="1" t="n">
        <v>45194.35973379629</v>
      </c>
      <c r="C195" s="1" t="n">
        <v>45938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41529-2023</t>
        </is>
      </c>
      <c r="B196" s="1" t="n">
        <v>45175.55418981481</v>
      </c>
      <c r="C196" s="1" t="n">
        <v>45938</v>
      </c>
      <c r="D196" t="inlineStr">
        <is>
          <t>SKÅNE LÄN</t>
        </is>
      </c>
      <c r="E196" t="inlineStr">
        <is>
          <t>OSBY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60031-2024</t>
        </is>
      </c>
      <c r="B197" s="1" t="n">
        <v>45642.45993055555</v>
      </c>
      <c r="C197" s="1" t="n">
        <v>45938</v>
      </c>
      <c r="D197" t="inlineStr">
        <is>
          <t>SKÅNE LÄN</t>
        </is>
      </c>
      <c r="E197" t="inlineStr">
        <is>
          <t>OSBY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11780-2023</t>
        </is>
      </c>
      <c r="B198" s="1" t="n">
        <v>44994.6522337963</v>
      </c>
      <c r="C198" s="1" t="n">
        <v>45938</v>
      </c>
      <c r="D198" t="inlineStr">
        <is>
          <t>SKÅNE LÄN</t>
        </is>
      </c>
      <c r="E198" t="inlineStr">
        <is>
          <t>OSBY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61018-2023</t>
        </is>
      </c>
      <c r="B199" s="1" t="n">
        <v>45259</v>
      </c>
      <c r="C199" s="1" t="n">
        <v>45938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8500-2025</t>
        </is>
      </c>
      <c r="B200" s="1" t="n">
        <v>45709.52055555556</v>
      </c>
      <c r="C200" s="1" t="n">
        <v>45938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29292-2023</t>
        </is>
      </c>
      <c r="B201" s="1" t="n">
        <v>45105</v>
      </c>
      <c r="C201" s="1" t="n">
        <v>45938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13596-2024</t>
        </is>
      </c>
      <c r="B202" s="1" t="n">
        <v>45390.31269675926</v>
      </c>
      <c r="C202" s="1" t="n">
        <v>45938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28397-2023</t>
        </is>
      </c>
      <c r="B203" s="1" t="n">
        <v>45100</v>
      </c>
      <c r="C203" s="1" t="n">
        <v>45938</v>
      </c>
      <c r="D203" t="inlineStr">
        <is>
          <t>SKÅNE LÄN</t>
        </is>
      </c>
      <c r="E203" t="inlineStr">
        <is>
          <t>OSBY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34934-2023</t>
        </is>
      </c>
      <c r="B204" s="1" t="n">
        <v>45141</v>
      </c>
      <c r="C204" s="1" t="n">
        <v>45938</v>
      </c>
      <c r="D204" t="inlineStr">
        <is>
          <t>SKÅNE LÄN</t>
        </is>
      </c>
      <c r="E204" t="inlineStr">
        <is>
          <t>OSBY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13109-2022</t>
        </is>
      </c>
      <c r="B205" s="1" t="n">
        <v>44644.29711805555</v>
      </c>
      <c r="C205" s="1" t="n">
        <v>45938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1152-2025</t>
        </is>
      </c>
      <c r="B206" s="1" t="n">
        <v>45666.74427083333</v>
      </c>
      <c r="C206" s="1" t="n">
        <v>45938</v>
      </c>
      <c r="D206" t="inlineStr">
        <is>
          <t>SKÅNE LÄN</t>
        </is>
      </c>
      <c r="E206" t="inlineStr">
        <is>
          <t>OSBY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55389-2023</t>
        </is>
      </c>
      <c r="B207" s="1" t="n">
        <v>45238</v>
      </c>
      <c r="C207" s="1" t="n">
        <v>45938</v>
      </c>
      <c r="D207" t="inlineStr">
        <is>
          <t>SKÅNE LÄN</t>
        </is>
      </c>
      <c r="E207" t="inlineStr">
        <is>
          <t>OSBY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15143-2023</t>
        </is>
      </c>
      <c r="B208" s="1" t="n">
        <v>45015</v>
      </c>
      <c r="C208" s="1" t="n">
        <v>45938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62425-2023</t>
        </is>
      </c>
      <c r="B209" s="1" t="n">
        <v>45268.41516203704</v>
      </c>
      <c r="C209" s="1" t="n">
        <v>45938</v>
      </c>
      <c r="D209" t="inlineStr">
        <is>
          <t>SKÅNE LÄN</t>
        </is>
      </c>
      <c r="E209" t="inlineStr">
        <is>
          <t>OSBY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17673-2023</t>
        </is>
      </c>
      <c r="B210" s="1" t="n">
        <v>45035</v>
      </c>
      <c r="C210" s="1" t="n">
        <v>45938</v>
      </c>
      <c r="D210" t="inlineStr">
        <is>
          <t>SKÅNE LÄN</t>
        </is>
      </c>
      <c r="E210" t="inlineStr">
        <is>
          <t>OSBY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55292-2023</t>
        </is>
      </c>
      <c r="B211" s="1" t="n">
        <v>45237</v>
      </c>
      <c r="C211" s="1" t="n">
        <v>45938</v>
      </c>
      <c r="D211" t="inlineStr">
        <is>
          <t>SKÅNE LÄN</t>
        </is>
      </c>
      <c r="E211" t="inlineStr">
        <is>
          <t>OSBY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6874-2024</t>
        </is>
      </c>
      <c r="B212" s="1" t="n">
        <v>45342</v>
      </c>
      <c r="C212" s="1" t="n">
        <v>45938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20643-2024</t>
        </is>
      </c>
      <c r="B213" s="1" t="n">
        <v>45436</v>
      </c>
      <c r="C213" s="1" t="n">
        <v>45938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33064-2023</t>
        </is>
      </c>
      <c r="B214" s="1" t="n">
        <v>45126</v>
      </c>
      <c r="C214" s="1" t="n">
        <v>45938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HYPERLINK("https://klasma.github.io/Logging_1273/knärot/A 33064-2023 karta knärot.png", "A 33064-2023")</f>
        <v/>
      </c>
      <c r="V214">
        <f>HYPERLINK("https://klasma.github.io/Logging_1273/klagomål/A 33064-2023 FSC-klagomål.docx", "A 33064-2023")</f>
        <v/>
      </c>
      <c r="W214">
        <f>HYPERLINK("https://klasma.github.io/Logging_1273/klagomålsmail/A 33064-2023 FSC-klagomål mail.docx", "A 33064-2023")</f>
        <v/>
      </c>
      <c r="X214">
        <f>HYPERLINK("https://klasma.github.io/Logging_1273/tillsyn/A 33064-2023 tillsynsbegäran.docx", "A 33064-2023")</f>
        <v/>
      </c>
      <c r="Y214">
        <f>HYPERLINK("https://klasma.github.io/Logging_1273/tillsynsmail/A 33064-2023 tillsynsbegäran mail.docx", "A 33064-2023")</f>
        <v/>
      </c>
    </row>
    <row r="215" ht="15" customHeight="1">
      <c r="A215" t="inlineStr">
        <is>
          <t>A 5990-2025</t>
        </is>
      </c>
      <c r="B215" s="1" t="n">
        <v>45695.56311342592</v>
      </c>
      <c r="C215" s="1" t="n">
        <v>45938</v>
      </c>
      <c r="D215" t="inlineStr">
        <is>
          <t>SKÅNE LÄN</t>
        </is>
      </c>
      <c r="E215" t="inlineStr">
        <is>
          <t>OSBY</t>
        </is>
      </c>
      <c r="G215" t="n">
        <v>19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52857-2022</t>
        </is>
      </c>
      <c r="B216" s="1" t="n">
        <v>44872</v>
      </c>
      <c r="C216" s="1" t="n">
        <v>45938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20227-2022</t>
        </is>
      </c>
      <c r="B217" s="1" t="n">
        <v>44698</v>
      </c>
      <c r="C217" s="1" t="n">
        <v>45938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33822-2022</t>
        </is>
      </c>
      <c r="B218" s="1" t="n">
        <v>44790</v>
      </c>
      <c r="C218" s="1" t="n">
        <v>45938</v>
      </c>
      <c r="D218" t="inlineStr">
        <is>
          <t>SKÅNE LÄN</t>
        </is>
      </c>
      <c r="E218" t="inlineStr">
        <is>
          <t>OSBY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58154-2024</t>
        </is>
      </c>
      <c r="B219" s="1" t="n">
        <v>45632.44180555556</v>
      </c>
      <c r="C219" s="1" t="n">
        <v>45938</v>
      </c>
      <c r="D219" t="inlineStr">
        <is>
          <t>SKÅNE LÄN</t>
        </is>
      </c>
      <c r="E219" t="inlineStr">
        <is>
          <t>OSBY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22636-2023</t>
        </is>
      </c>
      <c r="B220" s="1" t="n">
        <v>45071</v>
      </c>
      <c r="C220" s="1" t="n">
        <v>45938</v>
      </c>
      <c r="D220" t="inlineStr">
        <is>
          <t>SKÅNE LÄN</t>
        </is>
      </c>
      <c r="E220" t="inlineStr">
        <is>
          <t>OSBY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26946-2022</t>
        </is>
      </c>
      <c r="B221" s="1" t="n">
        <v>44740.6428125</v>
      </c>
      <c r="C221" s="1" t="n">
        <v>45938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50611-2023</t>
        </is>
      </c>
      <c r="B222" s="1" t="n">
        <v>45217.44344907408</v>
      </c>
      <c r="C222" s="1" t="n">
        <v>45938</v>
      </c>
      <c r="D222" t="inlineStr">
        <is>
          <t>SKÅNE LÄN</t>
        </is>
      </c>
      <c r="E222" t="inlineStr">
        <is>
          <t>OSBY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15359-2023</t>
        </is>
      </c>
      <c r="B223" s="1" t="n">
        <v>45019</v>
      </c>
      <c r="C223" s="1" t="n">
        <v>45938</v>
      </c>
      <c r="D223" t="inlineStr">
        <is>
          <t>SKÅNE LÄN</t>
        </is>
      </c>
      <c r="E223" t="inlineStr">
        <is>
          <t>OSBY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36229-2024</t>
        </is>
      </c>
      <c r="B224" s="1" t="n">
        <v>45534.48851851852</v>
      </c>
      <c r="C224" s="1" t="n">
        <v>45938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36232-2024</t>
        </is>
      </c>
      <c r="B225" s="1" t="n">
        <v>45534.49101851852</v>
      </c>
      <c r="C225" s="1" t="n">
        <v>45938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34966-2023</t>
        </is>
      </c>
      <c r="B226" s="1" t="n">
        <v>45141</v>
      </c>
      <c r="C226" s="1" t="n">
        <v>45938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58337-2021</t>
        </is>
      </c>
      <c r="B227" s="1" t="n">
        <v>44487</v>
      </c>
      <c r="C227" s="1" t="n">
        <v>45938</v>
      </c>
      <c r="D227" t="inlineStr">
        <is>
          <t>SKÅNE LÄN</t>
        </is>
      </c>
      <c r="E227" t="inlineStr">
        <is>
          <t>OSBY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27492-2023</t>
        </is>
      </c>
      <c r="B228" s="1" t="n">
        <v>45097</v>
      </c>
      <c r="C228" s="1" t="n">
        <v>45938</v>
      </c>
      <c r="D228" t="inlineStr">
        <is>
          <t>SKÅNE LÄN</t>
        </is>
      </c>
      <c r="E228" t="inlineStr">
        <is>
          <t>OSBY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45650-2022</t>
        </is>
      </c>
      <c r="B229" s="1" t="n">
        <v>44845</v>
      </c>
      <c r="C229" s="1" t="n">
        <v>45938</v>
      </c>
      <c r="D229" t="inlineStr">
        <is>
          <t>SKÅNE LÄN</t>
        </is>
      </c>
      <c r="E229" t="inlineStr">
        <is>
          <t>OSBY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3451-2023</t>
        </is>
      </c>
      <c r="B230" s="1" t="n">
        <v>44949.61746527778</v>
      </c>
      <c r="C230" s="1" t="n">
        <v>45938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4767-2023</t>
        </is>
      </c>
      <c r="B231" s="1" t="n">
        <v>44957</v>
      </c>
      <c r="C231" s="1" t="n">
        <v>45938</v>
      </c>
      <c r="D231" t="inlineStr">
        <is>
          <t>SKÅNE LÄN</t>
        </is>
      </c>
      <c r="E231" t="inlineStr">
        <is>
          <t>OSBY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60404-2024</t>
        </is>
      </c>
      <c r="B232" s="1" t="n">
        <v>45643.50313657407</v>
      </c>
      <c r="C232" s="1" t="n">
        <v>45938</v>
      </c>
      <c r="D232" t="inlineStr">
        <is>
          <t>SKÅNE LÄN</t>
        </is>
      </c>
      <c r="E232" t="inlineStr">
        <is>
          <t>OSBY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61882-2024</t>
        </is>
      </c>
      <c r="B233" s="1" t="n">
        <v>45652.49542824074</v>
      </c>
      <c r="C233" s="1" t="n">
        <v>45938</v>
      </c>
      <c r="D233" t="inlineStr">
        <is>
          <t>SKÅNE LÄN</t>
        </is>
      </c>
      <c r="E233" t="inlineStr">
        <is>
          <t>OSBY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19367-2025</t>
        </is>
      </c>
      <c r="B234" s="1" t="n">
        <v>45769</v>
      </c>
      <c r="C234" s="1" t="n">
        <v>45938</v>
      </c>
      <c r="D234" t="inlineStr">
        <is>
          <t>SKÅNE LÄN</t>
        </is>
      </c>
      <c r="E234" t="inlineStr">
        <is>
          <t>OSBY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9430-2025</t>
        </is>
      </c>
      <c r="B235" s="1" t="n">
        <v>45715.40586805555</v>
      </c>
      <c r="C235" s="1" t="n">
        <v>45938</v>
      </c>
      <c r="D235" t="inlineStr">
        <is>
          <t>SKÅNE LÄN</t>
        </is>
      </c>
      <c r="E235" t="inlineStr">
        <is>
          <t>OSBY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2911-2025</t>
        </is>
      </c>
      <c r="B236" s="1" t="n">
        <v>45677.8484375</v>
      </c>
      <c r="C236" s="1" t="n">
        <v>45938</v>
      </c>
      <c r="D236" t="inlineStr">
        <is>
          <t>SKÅNE LÄN</t>
        </is>
      </c>
      <c r="E236" t="inlineStr">
        <is>
          <t>OSBY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12601-2025</t>
        </is>
      </c>
      <c r="B237" s="1" t="n">
        <v>45733</v>
      </c>
      <c r="C237" s="1" t="n">
        <v>45938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44429-2024</t>
        </is>
      </c>
      <c r="B238" s="1" t="n">
        <v>45573.97304398148</v>
      </c>
      <c r="C238" s="1" t="n">
        <v>45938</v>
      </c>
      <c r="D238" t="inlineStr">
        <is>
          <t>SKÅNE LÄN</t>
        </is>
      </c>
      <c r="E238" t="inlineStr">
        <is>
          <t>OSBY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38682-2025</t>
        </is>
      </c>
      <c r="B239" s="1" t="n">
        <v>45884.65219907407</v>
      </c>
      <c r="C239" s="1" t="n">
        <v>45938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22029-2022</t>
        </is>
      </c>
      <c r="B240" s="1" t="n">
        <v>44711.62016203703</v>
      </c>
      <c r="C240" s="1" t="n">
        <v>45938</v>
      </c>
      <c r="D240" t="inlineStr">
        <is>
          <t>SKÅNE LÄN</t>
        </is>
      </c>
      <c r="E240" t="inlineStr">
        <is>
          <t>OSBY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53773-2023</t>
        </is>
      </c>
      <c r="B241" s="1" t="n">
        <v>45231.09202546296</v>
      </c>
      <c r="C241" s="1" t="n">
        <v>45938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53774-2023</t>
        </is>
      </c>
      <c r="B242" s="1" t="n">
        <v>45231.09993055555</v>
      </c>
      <c r="C242" s="1" t="n">
        <v>45938</v>
      </c>
      <c r="D242" t="inlineStr">
        <is>
          <t>SKÅNE LÄN</t>
        </is>
      </c>
      <c r="E242" t="inlineStr">
        <is>
          <t>OSBY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67613-2021</t>
        </is>
      </c>
      <c r="B243" s="1" t="n">
        <v>44524.65744212963</v>
      </c>
      <c r="C243" s="1" t="n">
        <v>45938</v>
      </c>
      <c r="D243" t="inlineStr">
        <is>
          <t>SKÅNE LÄN</t>
        </is>
      </c>
      <c r="E243" t="inlineStr">
        <is>
          <t>OSBY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67616-2021</t>
        </is>
      </c>
      <c r="B244" s="1" t="n">
        <v>44524.66100694444</v>
      </c>
      <c r="C244" s="1" t="n">
        <v>45938</v>
      </c>
      <c r="D244" t="inlineStr">
        <is>
          <t>SKÅNE LÄN</t>
        </is>
      </c>
      <c r="E244" t="inlineStr">
        <is>
          <t>OSBY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8438-2024</t>
        </is>
      </c>
      <c r="B245" s="1" t="n">
        <v>45353.85016203704</v>
      </c>
      <c r="C245" s="1" t="n">
        <v>45938</v>
      </c>
      <c r="D245" t="inlineStr">
        <is>
          <t>SKÅNE LÄN</t>
        </is>
      </c>
      <c r="E245" t="inlineStr">
        <is>
          <t>OSBY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9819-2025</t>
        </is>
      </c>
      <c r="B246" s="1" t="n">
        <v>45715</v>
      </c>
      <c r="C246" s="1" t="n">
        <v>45938</v>
      </c>
      <c r="D246" t="inlineStr">
        <is>
          <t>SKÅNE LÄN</t>
        </is>
      </c>
      <c r="E246" t="inlineStr">
        <is>
          <t>OSBY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4710-2025</t>
        </is>
      </c>
      <c r="B247" s="1" t="n">
        <v>45688</v>
      </c>
      <c r="C247" s="1" t="n">
        <v>45938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51632-2024</t>
        </is>
      </c>
      <c r="B248" s="1" t="n">
        <v>45605.56743055556</v>
      </c>
      <c r="C248" s="1" t="n">
        <v>45938</v>
      </c>
      <c r="D248" t="inlineStr">
        <is>
          <t>SKÅNE LÄN</t>
        </is>
      </c>
      <c r="E248" t="inlineStr">
        <is>
          <t>OSBY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51633-2024</t>
        </is>
      </c>
      <c r="B249" s="1" t="n">
        <v>45605.57515046297</v>
      </c>
      <c r="C249" s="1" t="n">
        <v>45938</v>
      </c>
      <c r="D249" t="inlineStr">
        <is>
          <t>SKÅNE LÄN</t>
        </is>
      </c>
      <c r="E249" t="inlineStr">
        <is>
          <t>OSBY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49622-2023</t>
        </is>
      </c>
      <c r="B250" s="1" t="n">
        <v>45211</v>
      </c>
      <c r="C250" s="1" t="n">
        <v>45938</v>
      </c>
      <c r="D250" t="inlineStr">
        <is>
          <t>SKÅNE LÄN</t>
        </is>
      </c>
      <c r="E250" t="inlineStr">
        <is>
          <t>OSBY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11908-2025</t>
        </is>
      </c>
      <c r="B251" s="1" t="n">
        <v>45728.48403935185</v>
      </c>
      <c r="C251" s="1" t="n">
        <v>45938</v>
      </c>
      <c r="D251" t="inlineStr">
        <is>
          <t>SKÅNE LÄN</t>
        </is>
      </c>
      <c r="E251" t="inlineStr">
        <is>
          <t>OSBY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59236-2022</t>
        </is>
      </c>
      <c r="B252" s="1" t="n">
        <v>44904.56056712963</v>
      </c>
      <c r="C252" s="1" t="n">
        <v>45938</v>
      </c>
      <c r="D252" t="inlineStr">
        <is>
          <t>SKÅNE LÄN</t>
        </is>
      </c>
      <c r="E252" t="inlineStr">
        <is>
          <t>OSBY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59253-2022</t>
        </is>
      </c>
      <c r="B253" s="1" t="n">
        <v>44904.57929398148</v>
      </c>
      <c r="C253" s="1" t="n">
        <v>45938</v>
      </c>
      <c r="D253" t="inlineStr">
        <is>
          <t>SKÅNE LÄN</t>
        </is>
      </c>
      <c r="E253" t="inlineStr">
        <is>
          <t>OSBY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4833-2025</t>
        </is>
      </c>
      <c r="B254" s="1" t="n">
        <v>45688.65921296296</v>
      </c>
      <c r="C254" s="1" t="n">
        <v>45938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9840-2022</t>
        </is>
      </c>
      <c r="B255" s="1" t="n">
        <v>44620</v>
      </c>
      <c r="C255" s="1" t="n">
        <v>45938</v>
      </c>
      <c r="D255" t="inlineStr">
        <is>
          <t>SKÅNE LÄN</t>
        </is>
      </c>
      <c r="E255" t="inlineStr">
        <is>
          <t>OSBY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31640-2024</t>
        </is>
      </c>
      <c r="B256" s="1" t="n">
        <v>45506.58966435185</v>
      </c>
      <c r="C256" s="1" t="n">
        <v>45938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2111-2024</t>
        </is>
      </c>
      <c r="B257" s="1" t="n">
        <v>45309</v>
      </c>
      <c r="C257" s="1" t="n">
        <v>45938</v>
      </c>
      <c r="D257" t="inlineStr">
        <is>
          <t>SKÅNE LÄN</t>
        </is>
      </c>
      <c r="E257" t="inlineStr">
        <is>
          <t>OSBY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56177-2021</t>
        </is>
      </c>
      <c r="B258" s="1" t="n">
        <v>44477</v>
      </c>
      <c r="C258" s="1" t="n">
        <v>45938</v>
      </c>
      <c r="D258" t="inlineStr">
        <is>
          <t>SKÅNE LÄN</t>
        </is>
      </c>
      <c r="E258" t="inlineStr">
        <is>
          <t>OSBY</t>
        </is>
      </c>
      <c r="F258" t="inlineStr">
        <is>
          <t>Kommuner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3452-2022</t>
        </is>
      </c>
      <c r="B259" s="1" t="n">
        <v>44585.56990740741</v>
      </c>
      <c r="C259" s="1" t="n">
        <v>45938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31758-2022</t>
        </is>
      </c>
      <c r="B260" s="1" t="n">
        <v>44776</v>
      </c>
      <c r="C260" s="1" t="n">
        <v>45938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64897-2023</t>
        </is>
      </c>
      <c r="B261" s="1" t="n">
        <v>45282.61424768518</v>
      </c>
      <c r="C261" s="1" t="n">
        <v>45938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38697-2025</t>
        </is>
      </c>
      <c r="B262" s="1" t="n">
        <v>45884.76268518518</v>
      </c>
      <c r="C262" s="1" t="n">
        <v>45938</v>
      </c>
      <c r="D262" t="inlineStr">
        <is>
          <t>SKÅNE LÄN</t>
        </is>
      </c>
      <c r="E262" t="inlineStr">
        <is>
          <t>OSBY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5262-2022</t>
        </is>
      </c>
      <c r="B263" s="1" t="n">
        <v>44594.57376157407</v>
      </c>
      <c r="C263" s="1" t="n">
        <v>45938</v>
      </c>
      <c r="D263" t="inlineStr">
        <is>
          <t>SKÅNE LÄN</t>
        </is>
      </c>
      <c r="E263" t="inlineStr">
        <is>
          <t>OSBY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51859-2024</t>
        </is>
      </c>
      <c r="B264" s="1" t="n">
        <v>45607</v>
      </c>
      <c r="C264" s="1" t="n">
        <v>45938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12600-2025</t>
        </is>
      </c>
      <c r="B265" s="1" t="n">
        <v>45733</v>
      </c>
      <c r="C265" s="1" t="n">
        <v>45938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12604-2025</t>
        </is>
      </c>
      <c r="B266" s="1" t="n">
        <v>45733</v>
      </c>
      <c r="C266" s="1" t="n">
        <v>45938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61979-2024</t>
        </is>
      </c>
      <c r="B267" s="1" t="n">
        <v>45646</v>
      </c>
      <c r="C267" s="1" t="n">
        <v>45938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34972-2023</t>
        </is>
      </c>
      <c r="B268" s="1" t="n">
        <v>45141</v>
      </c>
      <c r="C268" s="1" t="n">
        <v>45938</v>
      </c>
      <c r="D268" t="inlineStr">
        <is>
          <t>SKÅNE LÄN</t>
        </is>
      </c>
      <c r="E268" t="inlineStr">
        <is>
          <t>OSBY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38684-2025</t>
        </is>
      </c>
      <c r="B269" s="1" t="n">
        <v>45884.65519675926</v>
      </c>
      <c r="C269" s="1" t="n">
        <v>45938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33816-2022</t>
        </is>
      </c>
      <c r="B270" s="1" t="n">
        <v>44790</v>
      </c>
      <c r="C270" s="1" t="n">
        <v>45938</v>
      </c>
      <c r="D270" t="inlineStr">
        <is>
          <t>SKÅNE LÄN</t>
        </is>
      </c>
      <c r="E270" t="inlineStr">
        <is>
          <t>OSBY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26989-2023</t>
        </is>
      </c>
      <c r="B271" s="1" t="n">
        <v>45093.91768518519</v>
      </c>
      <c r="C271" s="1" t="n">
        <v>45938</v>
      </c>
      <c r="D271" t="inlineStr">
        <is>
          <t>SKÅNE LÄN</t>
        </is>
      </c>
      <c r="E271" t="inlineStr">
        <is>
          <t>OSBY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48132-2024</t>
        </is>
      </c>
      <c r="B272" s="1" t="n">
        <v>45589.65177083333</v>
      </c>
      <c r="C272" s="1" t="n">
        <v>45938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48137-2024</t>
        </is>
      </c>
      <c r="B273" s="1" t="n">
        <v>45589.65980324074</v>
      </c>
      <c r="C273" s="1" t="n">
        <v>45938</v>
      </c>
      <c r="D273" t="inlineStr">
        <is>
          <t>SKÅNE LÄN</t>
        </is>
      </c>
      <c r="E273" t="inlineStr">
        <is>
          <t>OSBY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21891-2024</t>
        </is>
      </c>
      <c r="B274" s="1" t="n">
        <v>45443.38305555555</v>
      </c>
      <c r="C274" s="1" t="n">
        <v>45938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4229-2025</t>
        </is>
      </c>
      <c r="B275" s="1" t="n">
        <v>45685.54848379629</v>
      </c>
      <c r="C275" s="1" t="n">
        <v>45938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4363-2025</t>
        </is>
      </c>
      <c r="B276" s="1" t="n">
        <v>45686.33894675926</v>
      </c>
      <c r="C276" s="1" t="n">
        <v>45938</v>
      </c>
      <c r="D276" t="inlineStr">
        <is>
          <t>SKÅNE LÄN</t>
        </is>
      </c>
      <c r="E276" t="inlineStr">
        <is>
          <t>OSBY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38486-2024</t>
        </is>
      </c>
      <c r="B277" s="1" t="n">
        <v>45546.49244212963</v>
      </c>
      <c r="C277" s="1" t="n">
        <v>45938</v>
      </c>
      <c r="D277" t="inlineStr">
        <is>
          <t>SKÅNE LÄN</t>
        </is>
      </c>
      <c r="E277" t="inlineStr">
        <is>
          <t>OSBY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6968-2022</t>
        </is>
      </c>
      <c r="B278" s="1" t="n">
        <v>44603.3712037037</v>
      </c>
      <c r="C278" s="1" t="n">
        <v>45938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863-2025</t>
        </is>
      </c>
      <c r="B279" s="1" t="n">
        <v>45665.61969907407</v>
      </c>
      <c r="C279" s="1" t="n">
        <v>45938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59252-2022</t>
        </is>
      </c>
      <c r="B280" s="1" t="n">
        <v>44904.57733796296</v>
      </c>
      <c r="C280" s="1" t="n">
        <v>45938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40388-2024</t>
        </is>
      </c>
      <c r="B281" s="1" t="n">
        <v>45555.433125</v>
      </c>
      <c r="C281" s="1" t="n">
        <v>45938</v>
      </c>
      <c r="D281" t="inlineStr">
        <is>
          <t>SKÅNE LÄN</t>
        </is>
      </c>
      <c r="E281" t="inlineStr">
        <is>
          <t>OSBY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48840-2023</t>
        </is>
      </c>
      <c r="B282" s="1" t="n">
        <v>45209.40101851852</v>
      </c>
      <c r="C282" s="1" t="n">
        <v>45938</v>
      </c>
      <c r="D282" t="inlineStr">
        <is>
          <t>SKÅNE LÄN</t>
        </is>
      </c>
      <c r="E282" t="inlineStr">
        <is>
          <t>OSBY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15568-2022</t>
        </is>
      </c>
      <c r="B283" s="1" t="n">
        <v>44662</v>
      </c>
      <c r="C283" s="1" t="n">
        <v>45938</v>
      </c>
      <c r="D283" t="inlineStr">
        <is>
          <t>SKÅNE LÄN</t>
        </is>
      </c>
      <c r="E283" t="inlineStr">
        <is>
          <t>OSBY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9184-2025</t>
        </is>
      </c>
      <c r="B284" s="1" t="n">
        <v>45714</v>
      </c>
      <c r="C284" s="1" t="n">
        <v>45938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14308-2023</t>
        </is>
      </c>
      <c r="B285" s="1" t="n">
        <v>45011.82695601852</v>
      </c>
      <c r="C285" s="1" t="n">
        <v>45938</v>
      </c>
      <c r="D285" t="inlineStr">
        <is>
          <t>SKÅNE LÄN</t>
        </is>
      </c>
      <c r="E285" t="inlineStr">
        <is>
          <t>OSBY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23233-2024</t>
        </is>
      </c>
      <c r="B286" s="1" t="n">
        <v>45453</v>
      </c>
      <c r="C286" s="1" t="n">
        <v>45938</v>
      </c>
      <c r="D286" t="inlineStr">
        <is>
          <t>SKÅNE LÄN</t>
        </is>
      </c>
      <c r="E286" t="inlineStr">
        <is>
          <t>OSBY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17228-2024</t>
        </is>
      </c>
      <c r="B287" s="1" t="n">
        <v>45414.36306712963</v>
      </c>
      <c r="C287" s="1" t="n">
        <v>45938</v>
      </c>
      <c r="D287" t="inlineStr">
        <is>
          <t>SKÅNE LÄN</t>
        </is>
      </c>
      <c r="E287" t="inlineStr">
        <is>
          <t>OSBY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47334-2025</t>
        </is>
      </c>
      <c r="B288" s="1" t="n">
        <v>45930.56465277778</v>
      </c>
      <c r="C288" s="1" t="n">
        <v>45938</v>
      </c>
      <c r="D288" t="inlineStr">
        <is>
          <t>SKÅNE LÄN</t>
        </is>
      </c>
      <c r="E288" t="inlineStr">
        <is>
          <t>OSBY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11048-2025</t>
        </is>
      </c>
      <c r="B289" s="1" t="n">
        <v>45723.49292824074</v>
      </c>
      <c r="C289" s="1" t="n">
        <v>45938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57782-2024</t>
        </is>
      </c>
      <c r="B290" s="1" t="n">
        <v>45631.29098379629</v>
      </c>
      <c r="C290" s="1" t="n">
        <v>45938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31639-2024</t>
        </is>
      </c>
      <c r="B291" s="1" t="n">
        <v>45506.58487268518</v>
      </c>
      <c r="C291" s="1" t="n">
        <v>45938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9803-2024</t>
        </is>
      </c>
      <c r="B292" s="1" t="n">
        <v>45362.83706018519</v>
      </c>
      <c r="C292" s="1" t="n">
        <v>45938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40584-2022</t>
        </is>
      </c>
      <c r="B293" s="1" t="n">
        <v>44823.72759259259</v>
      </c>
      <c r="C293" s="1" t="n">
        <v>45938</v>
      </c>
      <c r="D293" t="inlineStr">
        <is>
          <t>SKÅNE LÄN</t>
        </is>
      </c>
      <c r="E293" t="inlineStr">
        <is>
          <t>OSBY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59257-2022</t>
        </is>
      </c>
      <c r="B294" s="1" t="n">
        <v>44904.58114583333</v>
      </c>
      <c r="C294" s="1" t="n">
        <v>45938</v>
      </c>
      <c r="D294" t="inlineStr">
        <is>
          <t>SKÅNE LÄN</t>
        </is>
      </c>
      <c r="E294" t="inlineStr">
        <is>
          <t>OSBY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57839-2024</t>
        </is>
      </c>
      <c r="B295" s="1" t="n">
        <v>45630</v>
      </c>
      <c r="C295" s="1" t="n">
        <v>45938</v>
      </c>
      <c r="D295" t="inlineStr">
        <is>
          <t>SKÅNE LÄN</t>
        </is>
      </c>
      <c r="E295" t="inlineStr">
        <is>
          <t>OSBY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26158-2023</t>
        </is>
      </c>
      <c r="B296" s="1" t="n">
        <v>45091.50614583334</v>
      </c>
      <c r="C296" s="1" t="n">
        <v>45938</v>
      </c>
      <c r="D296" t="inlineStr">
        <is>
          <t>SKÅNE LÄN</t>
        </is>
      </c>
      <c r="E296" t="inlineStr">
        <is>
          <t>OSBY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4708-2025</t>
        </is>
      </c>
      <c r="B297" s="1" t="n">
        <v>45688</v>
      </c>
      <c r="C297" s="1" t="n">
        <v>45938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15152-2023</t>
        </is>
      </c>
      <c r="B298" s="1" t="n">
        <v>45015</v>
      </c>
      <c r="C298" s="1" t="n">
        <v>45938</v>
      </c>
      <c r="D298" t="inlineStr">
        <is>
          <t>SKÅNE LÄN</t>
        </is>
      </c>
      <c r="E298" t="inlineStr">
        <is>
          <t>OSBY</t>
        </is>
      </c>
      <c r="F298" t="inlineStr">
        <is>
          <t>Naturvårdsverket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8382-2022</t>
        </is>
      </c>
      <c r="B299" s="1" t="n">
        <v>44610</v>
      </c>
      <c r="C299" s="1" t="n">
        <v>45938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14777-2025</t>
        </is>
      </c>
      <c r="B300" s="1" t="n">
        <v>45742.69731481482</v>
      </c>
      <c r="C300" s="1" t="n">
        <v>45938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69093-2021</t>
        </is>
      </c>
      <c r="B301" s="1" t="n">
        <v>44530.68075231482</v>
      </c>
      <c r="C301" s="1" t="n">
        <v>45938</v>
      </c>
      <c r="D301" t="inlineStr">
        <is>
          <t>SKÅNE LÄN</t>
        </is>
      </c>
      <c r="E301" t="inlineStr">
        <is>
          <t>OSBY</t>
        </is>
      </c>
      <c r="F301" t="inlineStr">
        <is>
          <t>Kommuner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58638-2022</t>
        </is>
      </c>
      <c r="B302" s="1" t="n">
        <v>44902.62528935185</v>
      </c>
      <c r="C302" s="1" t="n">
        <v>45938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29433-2024</t>
        </is>
      </c>
      <c r="B303" s="1" t="n">
        <v>45483.7616087963</v>
      </c>
      <c r="C303" s="1" t="n">
        <v>45938</v>
      </c>
      <c r="D303" t="inlineStr">
        <is>
          <t>SKÅNE LÄN</t>
        </is>
      </c>
      <c r="E303" t="inlineStr">
        <is>
          <t>OSBY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10714-2025</t>
        </is>
      </c>
      <c r="B304" s="1" t="n">
        <v>45722</v>
      </c>
      <c r="C304" s="1" t="n">
        <v>45938</v>
      </c>
      <c r="D304" t="inlineStr">
        <is>
          <t>SKÅNE LÄN</t>
        </is>
      </c>
      <c r="E304" t="inlineStr">
        <is>
          <t>OSBY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20113-2024</t>
        </is>
      </c>
      <c r="B305" s="1" t="n">
        <v>45434.52386574074</v>
      </c>
      <c r="C305" s="1" t="n">
        <v>45938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59675-2023</t>
        </is>
      </c>
      <c r="B306" s="1" t="n">
        <v>45255.57924768519</v>
      </c>
      <c r="C306" s="1" t="n">
        <v>45938</v>
      </c>
      <c r="D306" t="inlineStr">
        <is>
          <t>SKÅNE LÄN</t>
        </is>
      </c>
      <c r="E306" t="inlineStr">
        <is>
          <t>OSBY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59677-2023</t>
        </is>
      </c>
      <c r="B307" s="1" t="n">
        <v>45255</v>
      </c>
      <c r="C307" s="1" t="n">
        <v>45938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31721-2023</t>
        </is>
      </c>
      <c r="B308" s="1" t="n">
        <v>45117.89976851852</v>
      </c>
      <c r="C308" s="1" t="n">
        <v>45938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36569-2024</t>
        </is>
      </c>
      <c r="B309" s="1" t="n">
        <v>45537.48940972222</v>
      </c>
      <c r="C309" s="1" t="n">
        <v>45938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36645-2022</t>
        </is>
      </c>
      <c r="B310" s="1" t="n">
        <v>44804.7465625</v>
      </c>
      <c r="C310" s="1" t="n">
        <v>45938</v>
      </c>
      <c r="D310" t="inlineStr">
        <is>
          <t>SKÅNE LÄN</t>
        </is>
      </c>
      <c r="E310" t="inlineStr">
        <is>
          <t>OSBY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61711-2024</t>
        </is>
      </c>
      <c r="B311" s="1" t="n">
        <v>45648.67697916667</v>
      </c>
      <c r="C311" s="1" t="n">
        <v>45938</v>
      </c>
      <c r="D311" t="inlineStr">
        <is>
          <t>SKÅNE LÄN</t>
        </is>
      </c>
      <c r="E311" t="inlineStr">
        <is>
          <t>OSBY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32001-2023</t>
        </is>
      </c>
      <c r="B312" s="1" t="n">
        <v>45119</v>
      </c>
      <c r="C312" s="1" t="n">
        <v>45938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6875-2024</t>
        </is>
      </c>
      <c r="B313" s="1" t="n">
        <v>45342</v>
      </c>
      <c r="C313" s="1" t="n">
        <v>45938</v>
      </c>
      <c r="D313" t="inlineStr">
        <is>
          <t>SKÅNE LÄN</t>
        </is>
      </c>
      <c r="E313" t="inlineStr">
        <is>
          <t>OSBY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6876-2024</t>
        </is>
      </c>
      <c r="B314" s="1" t="n">
        <v>45342</v>
      </c>
      <c r="C314" s="1" t="n">
        <v>45938</v>
      </c>
      <c r="D314" t="inlineStr">
        <is>
          <t>SKÅNE LÄN</t>
        </is>
      </c>
      <c r="E314" t="inlineStr">
        <is>
          <t>OSBY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41322-2021</t>
        </is>
      </c>
      <c r="B315" s="1" t="n">
        <v>44424</v>
      </c>
      <c r="C315" s="1" t="n">
        <v>45938</v>
      </c>
      <c r="D315" t="inlineStr">
        <is>
          <t>SKÅNE LÄN</t>
        </is>
      </c>
      <c r="E315" t="inlineStr">
        <is>
          <t>OSBY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47508-2024</t>
        </is>
      </c>
      <c r="B316" s="1" t="n">
        <v>45587.6075</v>
      </c>
      <c r="C316" s="1" t="n">
        <v>45938</v>
      </c>
      <c r="D316" t="inlineStr">
        <is>
          <t>SKÅNE LÄN</t>
        </is>
      </c>
      <c r="E316" t="inlineStr">
        <is>
          <t>OSBY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43931-2022</t>
        </is>
      </c>
      <c r="B317" s="1" t="n">
        <v>44838</v>
      </c>
      <c r="C317" s="1" t="n">
        <v>45938</v>
      </c>
      <c r="D317" t="inlineStr">
        <is>
          <t>SKÅNE LÄN</t>
        </is>
      </c>
      <c r="E317" t="inlineStr">
        <is>
          <t>OSBY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12598-2025</t>
        </is>
      </c>
      <c r="B318" s="1" t="n">
        <v>45733</v>
      </c>
      <c r="C318" s="1" t="n">
        <v>45938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48126-2024</t>
        </is>
      </c>
      <c r="B319" s="1" t="n">
        <v>45589.6418287037</v>
      </c>
      <c r="C319" s="1" t="n">
        <v>45938</v>
      </c>
      <c r="D319" t="inlineStr">
        <is>
          <t>SKÅNE LÄN</t>
        </is>
      </c>
      <c r="E319" t="inlineStr">
        <is>
          <t>OSBY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62116-2022</t>
        </is>
      </c>
      <c r="B320" s="1" t="n">
        <v>44921.5437037037</v>
      </c>
      <c r="C320" s="1" t="n">
        <v>45938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43338-2024</t>
        </is>
      </c>
      <c r="B321" s="1" t="n">
        <v>45568.50387731481</v>
      </c>
      <c r="C321" s="1" t="n">
        <v>45938</v>
      </c>
      <c r="D321" t="inlineStr">
        <is>
          <t>SKÅNE LÄN</t>
        </is>
      </c>
      <c r="E321" t="inlineStr">
        <is>
          <t>OSBY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46432-2023</t>
        </is>
      </c>
      <c r="B322" s="1" t="n">
        <v>45197.57471064815</v>
      </c>
      <c r="C322" s="1" t="n">
        <v>45938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36979-2024</t>
        </is>
      </c>
      <c r="B323" s="1" t="n">
        <v>45539.27186342593</v>
      </c>
      <c r="C323" s="1" t="n">
        <v>45938</v>
      </c>
      <c r="D323" t="inlineStr">
        <is>
          <t>SKÅNE LÄN</t>
        </is>
      </c>
      <c r="E323" t="inlineStr">
        <is>
          <t>OSBY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53003-2024</t>
        </is>
      </c>
      <c r="B324" s="1" t="n">
        <v>45610</v>
      </c>
      <c r="C324" s="1" t="n">
        <v>45938</v>
      </c>
      <c r="D324" t="inlineStr">
        <is>
          <t>SKÅNE LÄN</t>
        </is>
      </c>
      <c r="E324" t="inlineStr">
        <is>
          <t>OSBY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38998-2024</t>
        </is>
      </c>
      <c r="B325" s="1" t="n">
        <v>45548.41568287037</v>
      </c>
      <c r="C325" s="1" t="n">
        <v>45938</v>
      </c>
      <c r="D325" t="inlineStr">
        <is>
          <t>SKÅNE LÄN</t>
        </is>
      </c>
      <c r="E325" t="inlineStr">
        <is>
          <t>OSBY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14307-2023</t>
        </is>
      </c>
      <c r="B326" s="1" t="n">
        <v>45011</v>
      </c>
      <c r="C326" s="1" t="n">
        <v>45938</v>
      </c>
      <c r="D326" t="inlineStr">
        <is>
          <t>SKÅNE LÄN</t>
        </is>
      </c>
      <c r="E326" t="inlineStr">
        <is>
          <t>OSBY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3846-2025</t>
        </is>
      </c>
      <c r="B327" s="1" t="n">
        <v>45683.73450231482</v>
      </c>
      <c r="C327" s="1" t="n">
        <v>45938</v>
      </c>
      <c r="D327" t="inlineStr">
        <is>
          <t>SKÅNE LÄN</t>
        </is>
      </c>
      <c r="E327" t="inlineStr">
        <is>
          <t>OSBY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3361-2022</t>
        </is>
      </c>
      <c r="B328" s="1" t="n">
        <v>44585.40355324074</v>
      </c>
      <c r="C328" s="1" t="n">
        <v>45938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13754-2025</t>
        </is>
      </c>
      <c r="B329" s="1" t="n">
        <v>45737.41474537037</v>
      </c>
      <c r="C329" s="1" t="n">
        <v>45938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22638-2023</t>
        </is>
      </c>
      <c r="B330" s="1" t="n">
        <v>45071</v>
      </c>
      <c r="C330" s="1" t="n">
        <v>45938</v>
      </c>
      <c r="D330" t="inlineStr">
        <is>
          <t>SKÅNE LÄN</t>
        </is>
      </c>
      <c r="E330" t="inlineStr">
        <is>
          <t>OSBY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48774-2025</t>
        </is>
      </c>
      <c r="B331" s="1" t="n">
        <v>45936.98362268518</v>
      </c>
      <c r="C331" s="1" t="n">
        <v>45938</v>
      </c>
      <c r="D331" t="inlineStr">
        <is>
          <t>SKÅNE LÄN</t>
        </is>
      </c>
      <c r="E331" t="inlineStr">
        <is>
          <t>OSBY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48785-2025</t>
        </is>
      </c>
      <c r="B332" s="1" t="n">
        <v>45937.31203703704</v>
      </c>
      <c r="C332" s="1" t="n">
        <v>45938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48796-2025</t>
        </is>
      </c>
      <c r="B333" s="1" t="n">
        <v>45937.34450231482</v>
      </c>
      <c r="C333" s="1" t="n">
        <v>45938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14495-2023</t>
        </is>
      </c>
      <c r="B334" s="1" t="n">
        <v>45012</v>
      </c>
      <c r="C334" s="1" t="n">
        <v>45938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18294-2024</t>
        </is>
      </c>
      <c r="B335" s="1" t="n">
        <v>45422.41104166667</v>
      </c>
      <c r="C335" s="1" t="n">
        <v>45938</v>
      </c>
      <c r="D335" t="inlineStr">
        <is>
          <t>SKÅNE LÄN</t>
        </is>
      </c>
      <c r="E335" t="inlineStr">
        <is>
          <t>OSBY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17537-2022</t>
        </is>
      </c>
      <c r="B336" s="1" t="n">
        <v>44679.61620370371</v>
      </c>
      <c r="C336" s="1" t="n">
        <v>45938</v>
      </c>
      <c r="D336" t="inlineStr">
        <is>
          <t>SKÅNE LÄN</t>
        </is>
      </c>
      <c r="E336" t="inlineStr">
        <is>
          <t>OSBY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60682-2020</t>
        </is>
      </c>
      <c r="B337" s="1" t="n">
        <v>44153.65398148148</v>
      </c>
      <c r="C337" s="1" t="n">
        <v>45938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4231-2025</t>
        </is>
      </c>
      <c r="B338" s="1" t="n">
        <v>45685.55055555556</v>
      </c>
      <c r="C338" s="1" t="n">
        <v>45938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48797-2025</t>
        </is>
      </c>
      <c r="B339" s="1" t="n">
        <v>45937.34452546296</v>
      </c>
      <c r="C339" s="1" t="n">
        <v>45938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29291-2023</t>
        </is>
      </c>
      <c r="B340" s="1" t="n">
        <v>45105</v>
      </c>
      <c r="C340" s="1" t="n">
        <v>45938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58761-2022</t>
        </is>
      </c>
      <c r="B341" s="1" t="n">
        <v>44903.36738425926</v>
      </c>
      <c r="C341" s="1" t="n">
        <v>45938</v>
      </c>
      <c r="D341" t="inlineStr">
        <is>
          <t>SKÅNE LÄN</t>
        </is>
      </c>
      <c r="E341" t="inlineStr">
        <is>
          <t>OSBY</t>
        </is>
      </c>
      <c r="F341" t="inlineStr">
        <is>
          <t>Kommuner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15181-2022</t>
        </is>
      </c>
      <c r="B342" s="1" t="n">
        <v>44658.5822800926</v>
      </c>
      <c r="C342" s="1" t="n">
        <v>45938</v>
      </c>
      <c r="D342" t="inlineStr">
        <is>
          <t>SKÅNE LÄN</t>
        </is>
      </c>
      <c r="E342" t="inlineStr">
        <is>
          <t>OSBY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2635-2024</t>
        </is>
      </c>
      <c r="B343" s="1" t="n">
        <v>45314.32972222222</v>
      </c>
      <c r="C343" s="1" t="n">
        <v>45938</v>
      </c>
      <c r="D343" t="inlineStr">
        <is>
          <t>SKÅNE LÄN</t>
        </is>
      </c>
      <c r="E343" t="inlineStr">
        <is>
          <t>OSBY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33486-2022</t>
        </is>
      </c>
      <c r="B344" s="1" t="n">
        <v>44788</v>
      </c>
      <c r="C344" s="1" t="n">
        <v>45938</v>
      </c>
      <c r="D344" t="inlineStr">
        <is>
          <t>SKÅNE LÄN</t>
        </is>
      </c>
      <c r="E344" t="inlineStr">
        <is>
          <t>OSBY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4209-2025</t>
        </is>
      </c>
      <c r="B345" s="1" t="n">
        <v>45685</v>
      </c>
      <c r="C345" s="1" t="n">
        <v>45938</v>
      </c>
      <c r="D345" t="inlineStr">
        <is>
          <t>SKÅNE LÄN</t>
        </is>
      </c>
      <c r="E345" t="inlineStr">
        <is>
          <t>OSBY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12978-2024</t>
        </is>
      </c>
      <c r="B346" s="1" t="n">
        <v>45385</v>
      </c>
      <c r="C346" s="1" t="n">
        <v>45938</v>
      </c>
      <c r="D346" t="inlineStr">
        <is>
          <t>SKÅNE LÄN</t>
        </is>
      </c>
      <c r="E346" t="inlineStr">
        <is>
          <t>OSBY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10714-2024</t>
        </is>
      </c>
      <c r="B347" s="1" t="n">
        <v>45369.44337962963</v>
      </c>
      <c r="C347" s="1" t="n">
        <v>45938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48789-2025</t>
        </is>
      </c>
      <c r="B348" s="1" t="n">
        <v>45937.32253472223</v>
      </c>
      <c r="C348" s="1" t="n">
        <v>45938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20601-2024</t>
        </is>
      </c>
      <c r="B349" s="1" t="n">
        <v>45436.43732638889</v>
      </c>
      <c r="C349" s="1" t="n">
        <v>45938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42751-2022</t>
        </is>
      </c>
      <c r="B350" s="1" t="n">
        <v>44832</v>
      </c>
      <c r="C350" s="1" t="n">
        <v>45938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56877-2021</t>
        </is>
      </c>
      <c r="B351" s="1" t="n">
        <v>44481.81486111111</v>
      </c>
      <c r="C351" s="1" t="n">
        <v>45938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60400-2024</t>
        </is>
      </c>
      <c r="B352" s="1" t="n">
        <v>45643.49901620371</v>
      </c>
      <c r="C352" s="1" t="n">
        <v>45938</v>
      </c>
      <c r="D352" t="inlineStr">
        <is>
          <t>SKÅNE LÄN</t>
        </is>
      </c>
      <c r="E352" t="inlineStr">
        <is>
          <t>OSBY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12680-2025</t>
        </is>
      </c>
      <c r="B353" s="1" t="n">
        <v>45733</v>
      </c>
      <c r="C353" s="1" t="n">
        <v>45938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10402-2024</t>
        </is>
      </c>
      <c r="B354" s="1" t="n">
        <v>45365.68638888889</v>
      </c>
      <c r="C354" s="1" t="n">
        <v>45938</v>
      </c>
      <c r="D354" t="inlineStr">
        <is>
          <t>SKÅNE LÄN</t>
        </is>
      </c>
      <c r="E354" t="inlineStr">
        <is>
          <t>OSBY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4232-2025</t>
        </is>
      </c>
      <c r="B355" s="1" t="n">
        <v>45685.55271990741</v>
      </c>
      <c r="C355" s="1" t="n">
        <v>45938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59679-2023</t>
        </is>
      </c>
      <c r="B356" s="1" t="n">
        <v>45255.59284722222</v>
      </c>
      <c r="C356" s="1" t="n">
        <v>45938</v>
      </c>
      <c r="D356" t="inlineStr">
        <is>
          <t>SKÅNE LÄN</t>
        </is>
      </c>
      <c r="E356" t="inlineStr">
        <is>
          <t>OSBY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14731-2021</t>
        </is>
      </c>
      <c r="B357" s="1" t="n">
        <v>44280</v>
      </c>
      <c r="C357" s="1" t="n">
        <v>45938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55294-2023</t>
        </is>
      </c>
      <c r="B358" s="1" t="n">
        <v>45237.79225694444</v>
      </c>
      <c r="C358" s="1" t="n">
        <v>45938</v>
      </c>
      <c r="D358" t="inlineStr">
        <is>
          <t>SKÅNE LÄN</t>
        </is>
      </c>
      <c r="E358" t="inlineStr">
        <is>
          <t>OSBY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9651-2024</t>
        </is>
      </c>
      <c r="B359" s="1" t="n">
        <v>45360</v>
      </c>
      <c r="C359" s="1" t="n">
        <v>45938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35875-2023</t>
        </is>
      </c>
      <c r="B360" s="1" t="n">
        <v>45148.56811342593</v>
      </c>
      <c r="C360" s="1" t="n">
        <v>45938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9840-2022</t>
        </is>
      </c>
      <c r="B361" s="1" t="n">
        <v>44620</v>
      </c>
      <c r="C361" s="1" t="n">
        <v>45938</v>
      </c>
      <c r="D361" t="inlineStr">
        <is>
          <t>SKÅNE LÄN</t>
        </is>
      </c>
      <c r="E361" t="inlineStr">
        <is>
          <t>OSBY</t>
        </is>
      </c>
      <c r="F361" t="inlineStr">
        <is>
          <t>Kommuner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50728-2023</t>
        </is>
      </c>
      <c r="B362" s="1" t="n">
        <v>45217.57601851852</v>
      </c>
      <c r="C362" s="1" t="n">
        <v>45938</v>
      </c>
      <c r="D362" t="inlineStr">
        <is>
          <t>SKÅNE LÄN</t>
        </is>
      </c>
      <c r="E362" t="inlineStr">
        <is>
          <t>OSBY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52409-2024</t>
        </is>
      </c>
      <c r="B363" s="1" t="n">
        <v>45609.45424768519</v>
      </c>
      <c r="C363" s="1" t="n">
        <v>45938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30275-2023</t>
        </is>
      </c>
      <c r="B364" s="1" t="n">
        <v>45110</v>
      </c>
      <c r="C364" s="1" t="n">
        <v>45938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21222-2023</t>
        </is>
      </c>
      <c r="B365" s="1" t="n">
        <v>45062</v>
      </c>
      <c r="C365" s="1" t="n">
        <v>45938</v>
      </c>
      <c r="D365" t="inlineStr">
        <is>
          <t>SKÅNE LÄN</t>
        </is>
      </c>
      <c r="E365" t="inlineStr">
        <is>
          <t>OSBY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3454-2022</t>
        </is>
      </c>
      <c r="B366" s="1" t="n">
        <v>44585.57111111111</v>
      </c>
      <c r="C366" s="1" t="n">
        <v>45938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19710-2021</t>
        </is>
      </c>
      <c r="B367" s="1" t="n">
        <v>44312.8218287037</v>
      </c>
      <c r="C367" s="1" t="n">
        <v>45938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58562-2022</t>
        </is>
      </c>
      <c r="B368" s="1" t="n">
        <v>44902</v>
      </c>
      <c r="C368" s="1" t="n">
        <v>45938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27005-2024</t>
        </is>
      </c>
      <c r="B369" s="1" t="n">
        <v>45471.39585648148</v>
      </c>
      <c r="C369" s="1" t="n">
        <v>45938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18333-2025</t>
        </is>
      </c>
      <c r="B370" s="1" t="n">
        <v>45762.4968287037</v>
      </c>
      <c r="C370" s="1" t="n">
        <v>45938</v>
      </c>
      <c r="D370" t="inlineStr">
        <is>
          <t>SKÅNE LÄN</t>
        </is>
      </c>
      <c r="E370" t="inlineStr">
        <is>
          <t>OSBY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14780-2025</t>
        </is>
      </c>
      <c r="B371" s="1" t="n">
        <v>45742.7065162037</v>
      </c>
      <c r="C371" s="1" t="n">
        <v>45938</v>
      </c>
      <c r="D371" t="inlineStr">
        <is>
          <t>SKÅNE LÄN</t>
        </is>
      </c>
      <c r="E371" t="inlineStr">
        <is>
          <t>OSBY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15172-2021</t>
        </is>
      </c>
      <c r="B372" s="1" t="n">
        <v>44284.3875462963</v>
      </c>
      <c r="C372" s="1" t="n">
        <v>45938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74016-2021</t>
        </is>
      </c>
      <c r="B373" s="1" t="n">
        <v>44557</v>
      </c>
      <c r="C373" s="1" t="n">
        <v>45938</v>
      </c>
      <c r="D373" t="inlineStr">
        <is>
          <t>SKÅNE LÄN</t>
        </is>
      </c>
      <c r="E373" t="inlineStr">
        <is>
          <t>OSBY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15733-2024</t>
        </is>
      </c>
      <c r="B374" s="1" t="n">
        <v>45404.5447337963</v>
      </c>
      <c r="C374" s="1" t="n">
        <v>45938</v>
      </c>
      <c r="D374" t="inlineStr">
        <is>
          <t>SKÅNE LÄN</t>
        </is>
      </c>
      <c r="E374" t="inlineStr">
        <is>
          <t>OSBY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36951-2023</t>
        </is>
      </c>
      <c r="B375" s="1" t="n">
        <v>45154.89658564814</v>
      </c>
      <c r="C375" s="1" t="n">
        <v>45938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51576-2020</t>
        </is>
      </c>
      <c r="B376" s="1" t="n">
        <v>44113</v>
      </c>
      <c r="C376" s="1" t="n">
        <v>45938</v>
      </c>
      <c r="D376" t="inlineStr">
        <is>
          <t>SKÅNE LÄN</t>
        </is>
      </c>
      <c r="E376" t="inlineStr">
        <is>
          <t>OSBY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60600-2022</t>
        </is>
      </c>
      <c r="B377" s="1" t="n">
        <v>44911.6057175926</v>
      </c>
      <c r="C377" s="1" t="n">
        <v>45938</v>
      </c>
      <c r="D377" t="inlineStr">
        <is>
          <t>SKÅNE LÄN</t>
        </is>
      </c>
      <c r="E377" t="inlineStr">
        <is>
          <t>OSBY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4798-2023</t>
        </is>
      </c>
      <c r="B378" s="1" t="n">
        <v>44957.61608796296</v>
      </c>
      <c r="C378" s="1" t="n">
        <v>45938</v>
      </c>
      <c r="D378" t="inlineStr">
        <is>
          <t>SKÅNE LÄN</t>
        </is>
      </c>
      <c r="E378" t="inlineStr">
        <is>
          <t>OSBY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61602-2023</t>
        </is>
      </c>
      <c r="B379" s="1" t="n">
        <v>45265.50185185186</v>
      </c>
      <c r="C379" s="1" t="n">
        <v>45938</v>
      </c>
      <c r="D379" t="inlineStr">
        <is>
          <t>SKÅNE LÄN</t>
        </is>
      </c>
      <c r="E379" t="inlineStr">
        <is>
          <t>OSBY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48513-2023</t>
        </is>
      </c>
      <c r="B380" s="1" t="n">
        <v>45208.30586805556</v>
      </c>
      <c r="C380" s="1" t="n">
        <v>45938</v>
      </c>
      <c r="D380" t="inlineStr">
        <is>
          <t>SKÅNE LÄN</t>
        </is>
      </c>
      <c r="E380" t="inlineStr">
        <is>
          <t>OSBY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20636-2024</t>
        </is>
      </c>
      <c r="B381" s="1" t="n">
        <v>45436</v>
      </c>
      <c r="C381" s="1" t="n">
        <v>45938</v>
      </c>
      <c r="D381" t="inlineStr">
        <is>
          <t>SKÅNE LÄN</t>
        </is>
      </c>
      <c r="E381" t="inlineStr">
        <is>
          <t>OSBY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41547-2022</t>
        </is>
      </c>
      <c r="B382" s="1" t="n">
        <v>44826</v>
      </c>
      <c r="C382" s="1" t="n">
        <v>45938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1318-2021</t>
        </is>
      </c>
      <c r="B383" s="1" t="n">
        <v>44208</v>
      </c>
      <c r="C383" s="1" t="n">
        <v>45938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36571-2024</t>
        </is>
      </c>
      <c r="B384" s="1" t="n">
        <v>45537.49109953704</v>
      </c>
      <c r="C384" s="1" t="n">
        <v>45938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7881-2025</t>
        </is>
      </c>
      <c r="B385" s="1" t="n">
        <v>45706.79318287037</v>
      </c>
      <c r="C385" s="1" t="n">
        <v>45938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27378-2022</t>
        </is>
      </c>
      <c r="B386" s="1" t="n">
        <v>44742.46596064815</v>
      </c>
      <c r="C386" s="1" t="n">
        <v>45938</v>
      </c>
      <c r="D386" t="inlineStr">
        <is>
          <t>SKÅNE LÄN</t>
        </is>
      </c>
      <c r="E386" t="inlineStr">
        <is>
          <t>OSBY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1068-2025</t>
        </is>
      </c>
      <c r="B387" s="1" t="n">
        <v>45666.594375</v>
      </c>
      <c r="C387" s="1" t="n">
        <v>45938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23234-2024</t>
        </is>
      </c>
      <c r="B388" s="1" t="n">
        <v>45453</v>
      </c>
      <c r="C388" s="1" t="n">
        <v>45938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23235-2024</t>
        </is>
      </c>
      <c r="B389" s="1" t="n">
        <v>45453</v>
      </c>
      <c r="C389" s="1" t="n">
        <v>45938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6755-2022</t>
        </is>
      </c>
      <c r="B390" s="1" t="n">
        <v>44602</v>
      </c>
      <c r="C390" s="1" t="n">
        <v>45938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56443-2023</t>
        </is>
      </c>
      <c r="B391" s="1" t="n">
        <v>45243.47027777778</v>
      </c>
      <c r="C391" s="1" t="n">
        <v>45938</v>
      </c>
      <c r="D391" t="inlineStr">
        <is>
          <t>SKÅNE LÄN</t>
        </is>
      </c>
      <c r="E391" t="inlineStr">
        <is>
          <t>OSBY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17649-2023</t>
        </is>
      </c>
      <c r="B392" s="1" t="n">
        <v>45035</v>
      </c>
      <c r="C392" s="1" t="n">
        <v>45938</v>
      </c>
      <c r="D392" t="inlineStr">
        <is>
          <t>SKÅNE LÄN</t>
        </is>
      </c>
      <c r="E392" t="inlineStr">
        <is>
          <t>OSBY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26780-2023</t>
        </is>
      </c>
      <c r="B393" s="1" t="n">
        <v>45093.48739583333</v>
      </c>
      <c r="C393" s="1" t="n">
        <v>45938</v>
      </c>
      <c r="D393" t="inlineStr">
        <is>
          <t>SKÅNE LÄN</t>
        </is>
      </c>
      <c r="E393" t="inlineStr">
        <is>
          <t>OSBY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860-2025</t>
        </is>
      </c>
      <c r="B394" s="1" t="n">
        <v>45665.61358796297</v>
      </c>
      <c r="C394" s="1" t="n">
        <v>45938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871-2025</t>
        </is>
      </c>
      <c r="B395" s="1" t="n">
        <v>45665.62650462963</v>
      </c>
      <c r="C395" s="1" t="n">
        <v>45938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24446-2023</t>
        </is>
      </c>
      <c r="B396" s="1" t="n">
        <v>45082.54413194444</v>
      </c>
      <c r="C396" s="1" t="n">
        <v>45938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2621-2022</t>
        </is>
      </c>
      <c r="B397" s="1" t="n">
        <v>44580</v>
      </c>
      <c r="C397" s="1" t="n">
        <v>45938</v>
      </c>
      <c r="D397" t="inlineStr">
        <is>
          <t>SKÅNE LÄN</t>
        </is>
      </c>
      <c r="E397" t="inlineStr">
        <is>
          <t>OSBY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12603-2025</t>
        </is>
      </c>
      <c r="B398" s="1" t="n">
        <v>45733</v>
      </c>
      <c r="C398" s="1" t="n">
        <v>45938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17616-2023</t>
        </is>
      </c>
      <c r="B399" s="1" t="n">
        <v>45036</v>
      </c>
      <c r="C399" s="1" t="n">
        <v>45938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20894-2025</t>
        </is>
      </c>
      <c r="B400" s="1" t="n">
        <v>45777.39721064815</v>
      </c>
      <c r="C400" s="1" t="n">
        <v>45938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57856-2024</t>
        </is>
      </c>
      <c r="B401" s="1" t="n">
        <v>45630</v>
      </c>
      <c r="C401" s="1" t="n">
        <v>45938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8375-2025</t>
        </is>
      </c>
      <c r="B402" s="1" t="n">
        <v>45709.33300925926</v>
      </c>
      <c r="C402" s="1" t="n">
        <v>45938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35777-2022</t>
        </is>
      </c>
      <c r="B403" s="1" t="n">
        <v>44801</v>
      </c>
      <c r="C403" s="1" t="n">
        <v>45938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25579-2024</t>
        </is>
      </c>
      <c r="B404" s="1" t="n">
        <v>45463</v>
      </c>
      <c r="C404" s="1" t="n">
        <v>45938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12413-2025</t>
        </is>
      </c>
      <c r="B405" s="1" t="n">
        <v>45730.43767361111</v>
      </c>
      <c r="C405" s="1" t="n">
        <v>45938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56166-2023</t>
        </is>
      </c>
      <c r="B406" s="1" t="n">
        <v>45240.62390046296</v>
      </c>
      <c r="C406" s="1" t="n">
        <v>45938</v>
      </c>
      <c r="D406" t="inlineStr">
        <is>
          <t>SKÅNE LÄN</t>
        </is>
      </c>
      <c r="E406" t="inlineStr">
        <is>
          <t>OSBY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29435-2024</t>
        </is>
      </c>
      <c r="B407" s="1" t="n">
        <v>45483.77171296296</v>
      </c>
      <c r="C407" s="1" t="n">
        <v>45938</v>
      </c>
      <c r="D407" t="inlineStr">
        <is>
          <t>SKÅNE LÄN</t>
        </is>
      </c>
      <c r="E407" t="inlineStr">
        <is>
          <t>OSBY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29024-2022</t>
        </is>
      </c>
      <c r="B408" s="1" t="n">
        <v>44749.86331018519</v>
      </c>
      <c r="C408" s="1" t="n">
        <v>45938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155-2021</t>
        </is>
      </c>
      <c r="B409" s="1" t="n">
        <v>44200</v>
      </c>
      <c r="C409" s="1" t="n">
        <v>45938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47843-2024</t>
        </is>
      </c>
      <c r="B410" s="1" t="n">
        <v>45588.65604166667</v>
      </c>
      <c r="C410" s="1" t="n">
        <v>45938</v>
      </c>
      <c r="D410" t="inlineStr">
        <is>
          <t>SKÅNE LÄN</t>
        </is>
      </c>
      <c r="E410" t="inlineStr">
        <is>
          <t>OSBY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61648-2022</t>
        </is>
      </c>
      <c r="B411" s="1" t="n">
        <v>44916.88560185185</v>
      </c>
      <c r="C411" s="1" t="n">
        <v>45938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26043-2024</t>
        </is>
      </c>
      <c r="B412" s="1" t="n">
        <v>45468</v>
      </c>
      <c r="C412" s="1" t="n">
        <v>45938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19116-2025</t>
        </is>
      </c>
      <c r="B413" s="1" t="n">
        <v>45768.72400462963</v>
      </c>
      <c r="C413" s="1" t="n">
        <v>45938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15041-2023</t>
        </is>
      </c>
      <c r="B414" s="1" t="n">
        <v>45015.65375</v>
      </c>
      <c r="C414" s="1" t="n">
        <v>45938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8367-2022</t>
        </is>
      </c>
      <c r="B415" s="1" t="n">
        <v>44610</v>
      </c>
      <c r="C415" s="1" t="n">
        <v>45938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21881-2024</t>
        </is>
      </c>
      <c r="B416" s="1" t="n">
        <v>45443.29864583333</v>
      </c>
      <c r="C416" s="1" t="n">
        <v>45938</v>
      </c>
      <c r="D416" t="inlineStr">
        <is>
          <t>SKÅNE LÄN</t>
        </is>
      </c>
      <c r="E416" t="inlineStr">
        <is>
          <t>OSBY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21570-2025</t>
        </is>
      </c>
      <c r="B417" s="1" t="n">
        <v>45782.75386574074</v>
      </c>
      <c r="C417" s="1" t="n">
        <v>45938</v>
      </c>
      <c r="D417" t="inlineStr">
        <is>
          <t>SKÅNE LÄN</t>
        </is>
      </c>
      <c r="E417" t="inlineStr">
        <is>
          <t>OSBY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15653-2024</t>
        </is>
      </c>
      <c r="B418" s="1" t="n">
        <v>45404.3621875</v>
      </c>
      <c r="C418" s="1" t="n">
        <v>45938</v>
      </c>
      <c r="D418" t="inlineStr">
        <is>
          <t>SKÅNE LÄN</t>
        </is>
      </c>
      <c r="E418" t="inlineStr">
        <is>
          <t>OSBY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50880-2022</t>
        </is>
      </c>
      <c r="B419" s="1" t="n">
        <v>44867.57969907407</v>
      </c>
      <c r="C419" s="1" t="n">
        <v>45938</v>
      </c>
      <c r="D419" t="inlineStr">
        <is>
          <t>SKÅNE LÄN</t>
        </is>
      </c>
      <c r="E419" t="inlineStr">
        <is>
          <t>OSBY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15797-2022</t>
        </is>
      </c>
      <c r="B420" s="1" t="n">
        <v>44663.88828703704</v>
      </c>
      <c r="C420" s="1" t="n">
        <v>45938</v>
      </c>
      <c r="D420" t="inlineStr">
        <is>
          <t>SKÅNE LÄN</t>
        </is>
      </c>
      <c r="E420" t="inlineStr">
        <is>
          <t>OSBY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22064-2025</t>
        </is>
      </c>
      <c r="B421" s="1" t="n">
        <v>45785</v>
      </c>
      <c r="C421" s="1" t="n">
        <v>45938</v>
      </c>
      <c r="D421" t="inlineStr">
        <is>
          <t>SKÅNE LÄN</t>
        </is>
      </c>
      <c r="E421" t="inlineStr">
        <is>
          <t>OSBY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17587-2023</t>
        </is>
      </c>
      <c r="B422" s="1" t="n">
        <v>45036</v>
      </c>
      <c r="C422" s="1" t="n">
        <v>45938</v>
      </c>
      <c r="D422" t="inlineStr">
        <is>
          <t>SKÅNE LÄN</t>
        </is>
      </c>
      <c r="E422" t="inlineStr">
        <is>
          <t>OSBY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31195-2024</t>
        </is>
      </c>
      <c r="B423" s="1" t="n">
        <v>45503</v>
      </c>
      <c r="C423" s="1" t="n">
        <v>45938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57710-2024</t>
        </is>
      </c>
      <c r="B424" s="1" t="n">
        <v>45630</v>
      </c>
      <c r="C424" s="1" t="n">
        <v>45938</v>
      </c>
      <c r="D424" t="inlineStr">
        <is>
          <t>SKÅNE LÄN</t>
        </is>
      </c>
      <c r="E424" t="inlineStr">
        <is>
          <t>OSBY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33254-2024</t>
        </is>
      </c>
      <c r="B425" s="1" t="n">
        <v>45518</v>
      </c>
      <c r="C425" s="1" t="n">
        <v>45938</v>
      </c>
      <c r="D425" t="inlineStr">
        <is>
          <t>SKÅNE LÄN</t>
        </is>
      </c>
      <c r="E425" t="inlineStr">
        <is>
          <t>OSBY</t>
        </is>
      </c>
      <c r="F425" t="inlineStr">
        <is>
          <t>Naturvårdsverket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872-2025</t>
        </is>
      </c>
      <c r="B426" s="1" t="n">
        <v>45665.6306712963</v>
      </c>
      <c r="C426" s="1" t="n">
        <v>45938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22902-2024</t>
        </is>
      </c>
      <c r="B427" s="1" t="n">
        <v>45448</v>
      </c>
      <c r="C427" s="1" t="n">
        <v>45938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62114-2024</t>
        </is>
      </c>
      <c r="B428" s="1" t="n">
        <v>45656.54815972222</v>
      </c>
      <c r="C428" s="1" t="n">
        <v>45938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19009-2024</t>
        </is>
      </c>
      <c r="B429" s="1" t="n">
        <v>45427.64453703703</v>
      </c>
      <c r="C429" s="1" t="n">
        <v>45938</v>
      </c>
      <c r="D429" t="inlineStr">
        <is>
          <t>SKÅNE LÄN</t>
        </is>
      </c>
      <c r="E429" t="inlineStr">
        <is>
          <t>OSBY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19010-2024</t>
        </is>
      </c>
      <c r="B430" s="1" t="n">
        <v>45427.64561342593</v>
      </c>
      <c r="C430" s="1" t="n">
        <v>45938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63297-2023</t>
        </is>
      </c>
      <c r="B431" s="1" t="n">
        <v>45273.96774305555</v>
      </c>
      <c r="C431" s="1" t="n">
        <v>45938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9190-2025</t>
        </is>
      </c>
      <c r="B432" s="1" t="n">
        <v>45714.45700231481</v>
      </c>
      <c r="C432" s="1" t="n">
        <v>45938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47880-2024</t>
        </is>
      </c>
      <c r="B433" s="1" t="n">
        <v>45588.7440625</v>
      </c>
      <c r="C433" s="1" t="n">
        <v>45938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1107-2025</t>
        </is>
      </c>
      <c r="B434" s="1" t="n">
        <v>45666.65141203703</v>
      </c>
      <c r="C434" s="1" t="n">
        <v>45938</v>
      </c>
      <c r="D434" t="inlineStr">
        <is>
          <t>SKÅNE LÄN</t>
        </is>
      </c>
      <c r="E434" t="inlineStr">
        <is>
          <t>OSBY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16838-2023</t>
        </is>
      </c>
      <c r="B435" s="1" t="n">
        <v>45033.43649305555</v>
      </c>
      <c r="C435" s="1" t="n">
        <v>45938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17715-2023</t>
        </is>
      </c>
      <c r="B436" s="1" t="n">
        <v>45037</v>
      </c>
      <c r="C436" s="1" t="n">
        <v>45938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27758-2022</t>
        </is>
      </c>
      <c r="B437" s="1" t="n">
        <v>44743</v>
      </c>
      <c r="C437" s="1" t="n">
        <v>45938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12068-2023</t>
        </is>
      </c>
      <c r="B438" s="1" t="n">
        <v>44997</v>
      </c>
      <c r="C438" s="1" t="n">
        <v>45938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61024-2023</t>
        </is>
      </c>
      <c r="B439" s="1" t="n">
        <v>45259</v>
      </c>
      <c r="C439" s="1" t="n">
        <v>45938</v>
      </c>
      <c r="D439" t="inlineStr">
        <is>
          <t>SKÅNE LÄN</t>
        </is>
      </c>
      <c r="E439" t="inlineStr">
        <is>
          <t>OSBY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45191-2024</t>
        </is>
      </c>
      <c r="B440" s="1" t="n">
        <v>45575.67569444444</v>
      </c>
      <c r="C440" s="1" t="n">
        <v>45938</v>
      </c>
      <c r="D440" t="inlineStr">
        <is>
          <t>SKÅNE LÄN</t>
        </is>
      </c>
      <c r="E440" t="inlineStr">
        <is>
          <t>OSBY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8989-2024</t>
        </is>
      </c>
      <c r="B441" s="1" t="n">
        <v>45356</v>
      </c>
      <c r="C441" s="1" t="n">
        <v>45938</v>
      </c>
      <c r="D441" t="inlineStr">
        <is>
          <t>SKÅNE LÄN</t>
        </is>
      </c>
      <c r="E441" t="inlineStr">
        <is>
          <t>OSBY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7211-2025</t>
        </is>
      </c>
      <c r="B442" s="1" t="n">
        <v>45702.47258101852</v>
      </c>
      <c r="C442" s="1" t="n">
        <v>45938</v>
      </c>
      <c r="D442" t="inlineStr">
        <is>
          <t>SKÅNE LÄN</t>
        </is>
      </c>
      <c r="E442" t="inlineStr">
        <is>
          <t>OSBY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10673-2025</t>
        </is>
      </c>
      <c r="B443" s="1" t="n">
        <v>45721.84422453704</v>
      </c>
      <c r="C443" s="1" t="n">
        <v>45938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31991-2023</t>
        </is>
      </c>
      <c r="B444" s="1" t="n">
        <v>45107</v>
      </c>
      <c r="C444" s="1" t="n">
        <v>45938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31970-2023</t>
        </is>
      </c>
      <c r="B445" s="1" t="n">
        <v>45119.4128587963</v>
      </c>
      <c r="C445" s="1" t="n">
        <v>45938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43516-2021</t>
        </is>
      </c>
      <c r="B446" s="1" t="n">
        <v>44433</v>
      </c>
      <c r="C446" s="1" t="n">
        <v>45938</v>
      </c>
      <c r="D446" t="inlineStr">
        <is>
          <t>SKÅNE LÄN</t>
        </is>
      </c>
      <c r="E446" t="inlineStr">
        <is>
          <t>OSBY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27514-2024</t>
        </is>
      </c>
      <c r="B447" s="1" t="n">
        <v>45474</v>
      </c>
      <c r="C447" s="1" t="n">
        <v>45938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34303-2024</t>
        </is>
      </c>
      <c r="B448" s="1" t="n">
        <v>45524.65349537037</v>
      </c>
      <c r="C448" s="1" t="n">
        <v>45938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34307-2024</t>
        </is>
      </c>
      <c r="B449" s="1" t="n">
        <v>45524</v>
      </c>
      <c r="C449" s="1" t="n">
        <v>45938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48582-2023</t>
        </is>
      </c>
      <c r="B450" s="1" t="n">
        <v>45208.47866898148</v>
      </c>
      <c r="C450" s="1" t="n">
        <v>45938</v>
      </c>
      <c r="D450" t="inlineStr">
        <is>
          <t>SKÅNE LÄN</t>
        </is>
      </c>
      <c r="E450" t="inlineStr">
        <is>
          <t>OSBY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12248-2024</t>
        </is>
      </c>
      <c r="B451" s="1" t="n">
        <v>45377</v>
      </c>
      <c r="C451" s="1" t="n">
        <v>45938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9987-2025</t>
        </is>
      </c>
      <c r="B452" s="1" t="n">
        <v>45719.42331018519</v>
      </c>
      <c r="C452" s="1" t="n">
        <v>45938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68592-2021</t>
        </is>
      </c>
      <c r="B453" s="1" t="n">
        <v>44529.54512731481</v>
      </c>
      <c r="C453" s="1" t="n">
        <v>45938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28240-2022</t>
        </is>
      </c>
      <c r="B454" s="1" t="n">
        <v>44746</v>
      </c>
      <c r="C454" s="1" t="n">
        <v>45938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23251-2025</t>
        </is>
      </c>
      <c r="B455" s="1" t="n">
        <v>45791</v>
      </c>
      <c r="C455" s="1" t="n">
        <v>45938</v>
      </c>
      <c r="D455" t="inlineStr">
        <is>
          <t>SKÅNE LÄN</t>
        </is>
      </c>
      <c r="E455" t="inlineStr">
        <is>
          <t>OSBY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42751-2022</t>
        </is>
      </c>
      <c r="B456" s="1" t="n">
        <v>44832</v>
      </c>
      <c r="C456" s="1" t="n">
        <v>45938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32584-2022</t>
        </is>
      </c>
      <c r="B457" s="1" t="n">
        <v>44783</v>
      </c>
      <c r="C457" s="1" t="n">
        <v>45938</v>
      </c>
      <c r="D457" t="inlineStr">
        <is>
          <t>SKÅNE LÄN</t>
        </is>
      </c>
      <c r="E457" t="inlineStr">
        <is>
          <t>OSBY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55682-2023</t>
        </is>
      </c>
      <c r="B458" s="1" t="n">
        <v>45239.34430555555</v>
      </c>
      <c r="C458" s="1" t="n">
        <v>45938</v>
      </c>
      <c r="D458" t="inlineStr">
        <is>
          <t>SKÅNE LÄN</t>
        </is>
      </c>
      <c r="E458" t="inlineStr">
        <is>
          <t>OSBY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3831-2024</t>
        </is>
      </c>
      <c r="B459" s="1" t="n">
        <v>45321.87001157407</v>
      </c>
      <c r="C459" s="1" t="n">
        <v>45938</v>
      </c>
      <c r="D459" t="inlineStr">
        <is>
          <t>SKÅNE LÄN</t>
        </is>
      </c>
      <c r="E459" t="inlineStr">
        <is>
          <t>OSBY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61414-2024</t>
        </is>
      </c>
      <c r="B460" s="1" t="n">
        <v>45646.44403935185</v>
      </c>
      <c r="C460" s="1" t="n">
        <v>45938</v>
      </c>
      <c r="D460" t="inlineStr">
        <is>
          <t>SKÅNE LÄN</t>
        </is>
      </c>
      <c r="E460" t="inlineStr">
        <is>
          <t>OSBY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11773-2023</t>
        </is>
      </c>
      <c r="B461" s="1" t="n">
        <v>44994.64373842593</v>
      </c>
      <c r="C461" s="1" t="n">
        <v>45938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11146-2024</t>
        </is>
      </c>
      <c r="B462" s="1" t="n">
        <v>45371.46622685185</v>
      </c>
      <c r="C462" s="1" t="n">
        <v>45938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54009-2023</t>
        </is>
      </c>
      <c r="B463" s="1" t="n">
        <v>45231.74186342592</v>
      </c>
      <c r="C463" s="1" t="n">
        <v>45938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7079-2023</t>
        </is>
      </c>
      <c r="B464" s="1" t="n">
        <v>44965</v>
      </c>
      <c r="C464" s="1" t="n">
        <v>45938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61364-2023</t>
        </is>
      </c>
      <c r="B465" s="1" t="n">
        <v>45264</v>
      </c>
      <c r="C465" s="1" t="n">
        <v>45938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10060-2024</t>
        </is>
      </c>
      <c r="B466" s="1" t="n">
        <v>45364.38001157407</v>
      </c>
      <c r="C466" s="1" t="n">
        <v>45938</v>
      </c>
      <c r="D466" t="inlineStr">
        <is>
          <t>SKÅNE LÄN</t>
        </is>
      </c>
      <c r="E466" t="inlineStr">
        <is>
          <t>OSBY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46425-2023</t>
        </is>
      </c>
      <c r="B467" s="1" t="n">
        <v>45197.56679398148</v>
      </c>
      <c r="C467" s="1" t="n">
        <v>45938</v>
      </c>
      <c r="D467" t="inlineStr">
        <is>
          <t>SKÅNE LÄN</t>
        </is>
      </c>
      <c r="E467" t="inlineStr">
        <is>
          <t>OSBY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46431-2023</t>
        </is>
      </c>
      <c r="B468" s="1" t="n">
        <v>45197.57119212963</v>
      </c>
      <c r="C468" s="1" t="n">
        <v>45938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27281-2023</t>
        </is>
      </c>
      <c r="B469" s="1" t="n">
        <v>45096</v>
      </c>
      <c r="C469" s="1" t="n">
        <v>45938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37358-2024</t>
        </is>
      </c>
      <c r="B470" s="1" t="n">
        <v>45540.5496875</v>
      </c>
      <c r="C470" s="1" t="n">
        <v>45938</v>
      </c>
      <c r="D470" t="inlineStr">
        <is>
          <t>SKÅNE LÄN</t>
        </is>
      </c>
      <c r="E470" t="inlineStr">
        <is>
          <t>OSBY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38485-2023</t>
        </is>
      </c>
      <c r="B471" s="1" t="n">
        <v>45162.47829861111</v>
      </c>
      <c r="C471" s="1" t="n">
        <v>45938</v>
      </c>
      <c r="D471" t="inlineStr">
        <is>
          <t>SKÅNE LÄN</t>
        </is>
      </c>
      <c r="E471" t="inlineStr">
        <is>
          <t>OSBY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41557-2022</t>
        </is>
      </c>
      <c r="B472" s="1" t="n">
        <v>44827.39942129629</v>
      </c>
      <c r="C472" s="1" t="n">
        <v>45938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8208-2025</t>
        </is>
      </c>
      <c r="B473" s="1" t="n">
        <v>45708.44246527777</v>
      </c>
      <c r="C473" s="1" t="n">
        <v>45938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13959-2025</t>
        </is>
      </c>
      <c r="B474" s="1" t="n">
        <v>45737.90570601852</v>
      </c>
      <c r="C474" s="1" t="n">
        <v>45938</v>
      </c>
      <c r="D474" t="inlineStr">
        <is>
          <t>SKÅNE LÄN</t>
        </is>
      </c>
      <c r="E474" t="inlineStr">
        <is>
          <t>OSBY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57218-2022</t>
        </is>
      </c>
      <c r="B475" s="1" t="n">
        <v>44895.65883101852</v>
      </c>
      <c r="C475" s="1" t="n">
        <v>45938</v>
      </c>
      <c r="D475" t="inlineStr">
        <is>
          <t>SKÅNE LÄN</t>
        </is>
      </c>
      <c r="E475" t="inlineStr">
        <is>
          <t>OSBY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22223-2024</t>
        </is>
      </c>
      <c r="B476" s="1" t="n">
        <v>45446.41148148148</v>
      </c>
      <c r="C476" s="1" t="n">
        <v>45938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24038-2025</t>
        </is>
      </c>
      <c r="B477" s="1" t="n">
        <v>45796.48542824074</v>
      </c>
      <c r="C477" s="1" t="n">
        <v>45938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12996-2021</t>
        </is>
      </c>
      <c r="B478" s="1" t="n">
        <v>44271.64799768518</v>
      </c>
      <c r="C478" s="1" t="n">
        <v>45938</v>
      </c>
      <c r="D478" t="inlineStr">
        <is>
          <t>SKÅNE LÄN</t>
        </is>
      </c>
      <c r="E478" t="inlineStr">
        <is>
          <t>OSBY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61520-2022</t>
        </is>
      </c>
      <c r="B479" s="1" t="n">
        <v>44910</v>
      </c>
      <c r="C479" s="1" t="n">
        <v>45938</v>
      </c>
      <c r="D479" t="inlineStr">
        <is>
          <t>SKÅNE LÄN</t>
        </is>
      </c>
      <c r="E479" t="inlineStr">
        <is>
          <t>OSBY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24898-2025</t>
        </is>
      </c>
      <c r="B480" s="1" t="n">
        <v>45799.51834490741</v>
      </c>
      <c r="C480" s="1" t="n">
        <v>45938</v>
      </c>
      <c r="D480" t="inlineStr">
        <is>
          <t>SKÅNE LÄN</t>
        </is>
      </c>
      <c r="E480" t="inlineStr">
        <is>
          <t>OSBY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8838-2024</t>
        </is>
      </c>
      <c r="B481" s="1" t="n">
        <v>45356.69465277778</v>
      </c>
      <c r="C481" s="1" t="n">
        <v>45938</v>
      </c>
      <c r="D481" t="inlineStr">
        <is>
          <t>SKÅNE LÄN</t>
        </is>
      </c>
      <c r="E481" t="inlineStr">
        <is>
          <t>OSBY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24720-2025</t>
        </is>
      </c>
      <c r="B482" s="1" t="n">
        <v>45799.29619212963</v>
      </c>
      <c r="C482" s="1" t="n">
        <v>45938</v>
      </c>
      <c r="D482" t="inlineStr">
        <is>
          <t>SKÅNE LÄN</t>
        </is>
      </c>
      <c r="E482" t="inlineStr">
        <is>
          <t>OSBY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25703-2025</t>
        </is>
      </c>
      <c r="B483" s="1" t="n">
        <v>45803</v>
      </c>
      <c r="C483" s="1" t="n">
        <v>45938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3874-2023</t>
        </is>
      </c>
      <c r="B484" s="1" t="n">
        <v>44951.85414351852</v>
      </c>
      <c r="C484" s="1" t="n">
        <v>45938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26988-2024</t>
        </is>
      </c>
      <c r="B485" s="1" t="n">
        <v>45471.3683912037</v>
      </c>
      <c r="C485" s="1" t="n">
        <v>45938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40035-2024</t>
        </is>
      </c>
      <c r="B486" s="1" t="n">
        <v>45553</v>
      </c>
      <c r="C486" s="1" t="n">
        <v>45938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52089-2022</t>
        </is>
      </c>
      <c r="B487" s="1" t="n">
        <v>44873.38465277778</v>
      </c>
      <c r="C487" s="1" t="n">
        <v>45938</v>
      </c>
      <c r="D487" t="inlineStr">
        <is>
          <t>SKÅNE LÄN</t>
        </is>
      </c>
      <c r="E487" t="inlineStr">
        <is>
          <t>OSBY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8207-2025</t>
        </is>
      </c>
      <c r="B488" s="1" t="n">
        <v>45708.44108796296</v>
      </c>
      <c r="C488" s="1" t="n">
        <v>45938</v>
      </c>
      <c r="D488" t="inlineStr">
        <is>
          <t>SKÅNE LÄN</t>
        </is>
      </c>
      <c r="E488" t="inlineStr">
        <is>
          <t>OSBY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20813-2023</t>
        </is>
      </c>
      <c r="B489" s="1" t="n">
        <v>45055</v>
      </c>
      <c r="C489" s="1" t="n">
        <v>45938</v>
      </c>
      <c r="D489" t="inlineStr">
        <is>
          <t>SKÅNE LÄN</t>
        </is>
      </c>
      <c r="E489" t="inlineStr">
        <is>
          <t>OSBY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2823-2023</t>
        </is>
      </c>
      <c r="B490" s="1" t="n">
        <v>44945.01668981482</v>
      </c>
      <c r="C490" s="1" t="n">
        <v>45938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21524-2023</t>
        </is>
      </c>
      <c r="B491" s="1" t="n">
        <v>45063</v>
      </c>
      <c r="C491" s="1" t="n">
        <v>45938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26222-2025</t>
        </is>
      </c>
      <c r="B492" s="1" t="n">
        <v>45805.55434027778</v>
      </c>
      <c r="C492" s="1" t="n">
        <v>45938</v>
      </c>
      <c r="D492" t="inlineStr">
        <is>
          <t>SKÅNE LÄN</t>
        </is>
      </c>
      <c r="E492" t="inlineStr">
        <is>
          <t>OSBY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74033-2021</t>
        </is>
      </c>
      <c r="B493" s="1" t="n">
        <v>44557.46721064814</v>
      </c>
      <c r="C493" s="1" t="n">
        <v>45938</v>
      </c>
      <c r="D493" t="inlineStr">
        <is>
          <t>SKÅNE LÄN</t>
        </is>
      </c>
      <c r="E493" t="inlineStr">
        <is>
          <t>OSBY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20599-2024</t>
        </is>
      </c>
      <c r="B494" s="1" t="n">
        <v>45436.43516203704</v>
      </c>
      <c r="C494" s="1" t="n">
        <v>45938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58747-2024</t>
        </is>
      </c>
      <c r="B495" s="1" t="n">
        <v>45635.71258101852</v>
      </c>
      <c r="C495" s="1" t="n">
        <v>45938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24232-2023</t>
        </is>
      </c>
      <c r="B496" s="1" t="n">
        <v>45079.60946759259</v>
      </c>
      <c r="C496" s="1" t="n">
        <v>45938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13138-2023</t>
        </is>
      </c>
      <c r="B497" s="1" t="n">
        <v>45002</v>
      </c>
      <c r="C497" s="1" t="n">
        <v>45938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13143-2023</t>
        </is>
      </c>
      <c r="B498" s="1" t="n">
        <v>45002</v>
      </c>
      <c r="C498" s="1" t="n">
        <v>45938</v>
      </c>
      <c r="D498" t="inlineStr">
        <is>
          <t>SKÅNE LÄN</t>
        </is>
      </c>
      <c r="E498" t="inlineStr">
        <is>
          <t>OSBY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27527-2023</t>
        </is>
      </c>
      <c r="B499" s="1" t="n">
        <v>45097</v>
      </c>
      <c r="C499" s="1" t="n">
        <v>45938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12070-2023</t>
        </is>
      </c>
      <c r="B500" s="1" t="n">
        <v>44997</v>
      </c>
      <c r="C500" s="1" t="n">
        <v>45938</v>
      </c>
      <c r="D500" t="inlineStr">
        <is>
          <t>SKÅNE LÄN</t>
        </is>
      </c>
      <c r="E500" t="inlineStr">
        <is>
          <t>OSBY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1051-2024</t>
        </is>
      </c>
      <c r="B501" s="1" t="n">
        <v>45301.94692129629</v>
      </c>
      <c r="C501" s="1" t="n">
        <v>45938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23816-2023</t>
        </is>
      </c>
      <c r="B502" s="1" t="n">
        <v>45078.39329861111</v>
      </c>
      <c r="C502" s="1" t="n">
        <v>45938</v>
      </c>
      <c r="D502" t="inlineStr">
        <is>
          <t>SKÅNE LÄN</t>
        </is>
      </c>
      <c r="E502" t="inlineStr">
        <is>
          <t>OSBY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28376-2025</t>
        </is>
      </c>
      <c r="B503" s="1" t="n">
        <v>45819.29016203704</v>
      </c>
      <c r="C503" s="1" t="n">
        <v>45938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58751-2024</t>
        </is>
      </c>
      <c r="B504" s="1" t="n">
        <v>45635.71762731481</v>
      </c>
      <c r="C504" s="1" t="n">
        <v>45938</v>
      </c>
      <c r="D504" t="inlineStr">
        <is>
          <t>SKÅNE LÄN</t>
        </is>
      </c>
      <c r="E504" t="inlineStr">
        <is>
          <t>OSBY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62117-2022</t>
        </is>
      </c>
      <c r="B505" s="1" t="n">
        <v>44921.55061342593</v>
      </c>
      <c r="C505" s="1" t="n">
        <v>45938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30211-2023</t>
        </is>
      </c>
      <c r="B506" s="1" t="n">
        <v>45110.63390046296</v>
      </c>
      <c r="C506" s="1" t="n">
        <v>45938</v>
      </c>
      <c r="D506" t="inlineStr">
        <is>
          <t>SKÅNE LÄN</t>
        </is>
      </c>
      <c r="E506" t="inlineStr">
        <is>
          <t>OSBY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23811-2023</t>
        </is>
      </c>
      <c r="B507" s="1" t="n">
        <v>45078.38459490741</v>
      </c>
      <c r="C507" s="1" t="n">
        <v>45938</v>
      </c>
      <c r="D507" t="inlineStr">
        <is>
          <t>SKÅNE LÄN</t>
        </is>
      </c>
      <c r="E507" t="inlineStr">
        <is>
          <t>OSBY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35986-2022</t>
        </is>
      </c>
      <c r="B508" s="1" t="n">
        <v>44802</v>
      </c>
      <c r="C508" s="1" t="n">
        <v>45938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157-2021</t>
        </is>
      </c>
      <c r="B509" s="1" t="n">
        <v>44200</v>
      </c>
      <c r="C509" s="1" t="n">
        <v>45938</v>
      </c>
      <c r="D509" t="inlineStr">
        <is>
          <t>SKÅNE LÄN</t>
        </is>
      </c>
      <c r="E509" t="inlineStr">
        <is>
          <t>OSBY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34581-2023</t>
        </is>
      </c>
      <c r="B510" s="1" t="n">
        <v>45140</v>
      </c>
      <c r="C510" s="1" t="n">
        <v>45938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12872-2025</t>
        </is>
      </c>
      <c r="B511" s="1" t="n">
        <v>45733</v>
      </c>
      <c r="C511" s="1" t="n">
        <v>45938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13594-2024</t>
        </is>
      </c>
      <c r="B512" s="1" t="n">
        <v>45390.31023148148</v>
      </c>
      <c r="C512" s="1" t="n">
        <v>45938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63077-2021</t>
        </is>
      </c>
      <c r="B513" s="1" t="n">
        <v>44505</v>
      </c>
      <c r="C513" s="1" t="n">
        <v>45938</v>
      </c>
      <c r="D513" t="inlineStr">
        <is>
          <t>SKÅNE LÄN</t>
        </is>
      </c>
      <c r="E513" t="inlineStr">
        <is>
          <t>OSBY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31334-2025</t>
        </is>
      </c>
      <c r="B514" s="1" t="n">
        <v>45833.42586805556</v>
      </c>
      <c r="C514" s="1" t="n">
        <v>45938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31343-2025</t>
        </is>
      </c>
      <c r="B515" s="1" t="n">
        <v>45833.42826388889</v>
      </c>
      <c r="C515" s="1" t="n">
        <v>45938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31354-2025</t>
        </is>
      </c>
      <c r="B516" s="1" t="n">
        <v>45833.43040509259</v>
      </c>
      <c r="C516" s="1" t="n">
        <v>45938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31332-2025</t>
        </is>
      </c>
      <c r="B517" s="1" t="n">
        <v>45833.42054398148</v>
      </c>
      <c r="C517" s="1" t="n">
        <v>45938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15234-2025</t>
        </is>
      </c>
      <c r="B518" s="1" t="n">
        <v>45744.60379629629</v>
      </c>
      <c r="C518" s="1" t="n">
        <v>45938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31309-2025</t>
        </is>
      </c>
      <c r="B519" s="1" t="n">
        <v>45833.38796296297</v>
      </c>
      <c r="C519" s="1" t="n">
        <v>45938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30872-2025</t>
        </is>
      </c>
      <c r="B520" s="1" t="n">
        <v>45832.34307870371</v>
      </c>
      <c r="C520" s="1" t="n">
        <v>45938</v>
      </c>
      <c r="D520" t="inlineStr">
        <is>
          <t>SKÅNE LÄN</t>
        </is>
      </c>
      <c r="E520" t="inlineStr">
        <is>
          <t>OSBY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34306-2024</t>
        </is>
      </c>
      <c r="B521" s="1" t="n">
        <v>45524</v>
      </c>
      <c r="C521" s="1" t="n">
        <v>45938</v>
      </c>
      <c r="D521" t="inlineStr">
        <is>
          <t>SKÅNE LÄN</t>
        </is>
      </c>
      <c r="E521" t="inlineStr">
        <is>
          <t>OSBY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31667-2025</t>
        </is>
      </c>
      <c r="B522" s="1" t="n">
        <v>45834.36524305555</v>
      </c>
      <c r="C522" s="1" t="n">
        <v>45938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31827-2025</t>
        </is>
      </c>
      <c r="B523" s="1" t="n">
        <v>45834.58601851852</v>
      </c>
      <c r="C523" s="1" t="n">
        <v>45938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31657-2025</t>
        </is>
      </c>
      <c r="B524" s="1" t="n">
        <v>45834.34890046297</v>
      </c>
      <c r="C524" s="1" t="n">
        <v>45938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31814-2025</t>
        </is>
      </c>
      <c r="B525" s="1" t="n">
        <v>45834.56790509259</v>
      </c>
      <c r="C525" s="1" t="n">
        <v>45938</v>
      </c>
      <c r="D525" t="inlineStr">
        <is>
          <t>SKÅNE LÄN</t>
        </is>
      </c>
      <c r="E525" t="inlineStr">
        <is>
          <t>OSBY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31638-2025</t>
        </is>
      </c>
      <c r="B526" s="1" t="n">
        <v>45834.34193287037</v>
      </c>
      <c r="C526" s="1" t="n">
        <v>45938</v>
      </c>
      <c r="D526" t="inlineStr">
        <is>
          <t>SKÅNE LÄN</t>
        </is>
      </c>
      <c r="E526" t="inlineStr">
        <is>
          <t>OSBY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31947-2025</t>
        </is>
      </c>
      <c r="B527" s="1" t="n">
        <v>45835.32391203703</v>
      </c>
      <c r="C527" s="1" t="n">
        <v>45938</v>
      </c>
      <c r="D527" t="inlineStr">
        <is>
          <t>SKÅNE LÄN</t>
        </is>
      </c>
      <c r="E527" t="inlineStr">
        <is>
          <t>OSBY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35715-2023</t>
        </is>
      </c>
      <c r="B528" s="1" t="n">
        <v>45147.68502314815</v>
      </c>
      <c r="C528" s="1" t="n">
        <v>45938</v>
      </c>
      <c r="D528" t="inlineStr">
        <is>
          <t>SKÅNE LÄN</t>
        </is>
      </c>
      <c r="E528" t="inlineStr">
        <is>
          <t>OSBY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33251-2024</t>
        </is>
      </c>
      <c r="B529" s="1" t="n">
        <v>45518</v>
      </c>
      <c r="C529" s="1" t="n">
        <v>45938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32518-2025</t>
        </is>
      </c>
      <c r="B530" s="1" t="n">
        <v>45838.47916666666</v>
      </c>
      <c r="C530" s="1" t="n">
        <v>45938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32520-2025</t>
        </is>
      </c>
      <c r="B531" s="1" t="n">
        <v>45838.48385416667</v>
      </c>
      <c r="C531" s="1" t="n">
        <v>45938</v>
      </c>
      <c r="D531" t="inlineStr">
        <is>
          <t>SKÅNE LÄN</t>
        </is>
      </c>
      <c r="E531" t="inlineStr">
        <is>
          <t>OSBY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50366-2021</t>
        </is>
      </c>
      <c r="B532" s="1" t="n">
        <v>44455</v>
      </c>
      <c r="C532" s="1" t="n">
        <v>45938</v>
      </c>
      <c r="D532" t="inlineStr">
        <is>
          <t>SKÅNE LÄN</t>
        </is>
      </c>
      <c r="E532" t="inlineStr">
        <is>
          <t>OSBY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50380-2023</t>
        </is>
      </c>
      <c r="B533" s="1" t="n">
        <v>45216.62342592593</v>
      </c>
      <c r="C533" s="1" t="n">
        <v>45938</v>
      </c>
      <c r="D533" t="inlineStr">
        <is>
          <t>SKÅNE LÄN</t>
        </is>
      </c>
      <c r="E533" t="inlineStr">
        <is>
          <t>OSBY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30145-2025</t>
        </is>
      </c>
      <c r="B534" s="1" t="n">
        <v>45826.96917824074</v>
      </c>
      <c r="C534" s="1" t="n">
        <v>45938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66984-2021</t>
        </is>
      </c>
      <c r="B535" s="1" t="n">
        <v>44522.61341435185</v>
      </c>
      <c r="C535" s="1" t="n">
        <v>45938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45900-2023</t>
        </is>
      </c>
      <c r="B536" s="1" t="n">
        <v>45195.69958333333</v>
      </c>
      <c r="C536" s="1" t="n">
        <v>45938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45906-2023</t>
        </is>
      </c>
      <c r="B537" s="1" t="n">
        <v>45195.71341435185</v>
      </c>
      <c r="C537" s="1" t="n">
        <v>45938</v>
      </c>
      <c r="D537" t="inlineStr">
        <is>
          <t>SKÅNE LÄN</t>
        </is>
      </c>
      <c r="E537" t="inlineStr">
        <is>
          <t>OSBY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11808-2024</t>
        </is>
      </c>
      <c r="B538" s="1" t="n">
        <v>45375.84645833333</v>
      </c>
      <c r="C538" s="1" t="n">
        <v>45938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43947-2024</t>
        </is>
      </c>
      <c r="B539" s="1" t="n">
        <v>45572.47167824074</v>
      </c>
      <c r="C539" s="1" t="n">
        <v>45938</v>
      </c>
      <c r="D539" t="inlineStr">
        <is>
          <t>SKÅNE LÄN</t>
        </is>
      </c>
      <c r="E539" t="inlineStr">
        <is>
          <t>OSBY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34238-2025</t>
        </is>
      </c>
      <c r="B540" s="1" t="n">
        <v>45844</v>
      </c>
      <c r="C540" s="1" t="n">
        <v>45938</v>
      </c>
      <c r="D540" t="inlineStr">
        <is>
          <t>SKÅNE LÄN</t>
        </is>
      </c>
      <c r="E540" t="inlineStr">
        <is>
          <t>OSBY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34053-2025</t>
        </is>
      </c>
      <c r="B541" s="1" t="n">
        <v>45845.40922453703</v>
      </c>
      <c r="C541" s="1" t="n">
        <v>45938</v>
      </c>
      <c r="D541" t="inlineStr">
        <is>
          <t>SKÅNE LÄN</t>
        </is>
      </c>
      <c r="E541" t="inlineStr">
        <is>
          <t>OSBY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34047-2025</t>
        </is>
      </c>
      <c r="B542" s="1" t="n">
        <v>45845.38695601852</v>
      </c>
      <c r="C542" s="1" t="n">
        <v>45938</v>
      </c>
      <c r="D542" t="inlineStr">
        <is>
          <t>SKÅNE LÄN</t>
        </is>
      </c>
      <c r="E542" t="inlineStr">
        <is>
          <t>OSBY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34223-2025</t>
        </is>
      </c>
      <c r="B543" s="1" t="n">
        <v>45844</v>
      </c>
      <c r="C543" s="1" t="n">
        <v>45938</v>
      </c>
      <c r="D543" t="inlineStr">
        <is>
          <t>SKÅNE LÄN</t>
        </is>
      </c>
      <c r="E543" t="inlineStr">
        <is>
          <t>OSBY</t>
        </is>
      </c>
      <c r="F543" t="inlineStr">
        <is>
          <t>Naturvårdsverket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34197-2025</t>
        </is>
      </c>
      <c r="B544" s="1" t="n">
        <v>45844</v>
      </c>
      <c r="C544" s="1" t="n">
        <v>45938</v>
      </c>
      <c r="D544" t="inlineStr">
        <is>
          <t>SKÅNE LÄN</t>
        </is>
      </c>
      <c r="E544" t="inlineStr">
        <is>
          <t>OSBY</t>
        </is>
      </c>
      <c r="F544" t="inlineStr">
        <is>
          <t>Naturvårdsverket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34227-2025</t>
        </is>
      </c>
      <c r="B545" s="1" t="n">
        <v>45844</v>
      </c>
      <c r="C545" s="1" t="n">
        <v>45938</v>
      </c>
      <c r="D545" t="inlineStr">
        <is>
          <t>SKÅNE LÄN</t>
        </is>
      </c>
      <c r="E545" t="inlineStr">
        <is>
          <t>OSBY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34204-2025</t>
        </is>
      </c>
      <c r="B546" s="1" t="n">
        <v>45844</v>
      </c>
      <c r="C546" s="1" t="n">
        <v>45938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36952-2023</t>
        </is>
      </c>
      <c r="B547" s="1" t="n">
        <v>45154</v>
      </c>
      <c r="C547" s="1" t="n">
        <v>45938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8506-2025</t>
        </is>
      </c>
      <c r="B548" s="1" t="n">
        <v>45709.53076388889</v>
      </c>
      <c r="C548" s="1" t="n">
        <v>45938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34180-2025</t>
        </is>
      </c>
      <c r="B549" s="1" t="n">
        <v>45844</v>
      </c>
      <c r="C549" s="1" t="n">
        <v>45938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34217-2025</t>
        </is>
      </c>
      <c r="B550" s="1" t="n">
        <v>45844</v>
      </c>
      <c r="C550" s="1" t="n">
        <v>45938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34049-2025</t>
        </is>
      </c>
      <c r="B551" s="1" t="n">
        <v>45845.39140046296</v>
      </c>
      <c r="C551" s="1" t="n">
        <v>45938</v>
      </c>
      <c r="D551" t="inlineStr">
        <is>
          <t>SKÅNE LÄN</t>
        </is>
      </c>
      <c r="E551" t="inlineStr">
        <is>
          <t>OSBY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34237-2025</t>
        </is>
      </c>
      <c r="B552" s="1" t="n">
        <v>45844</v>
      </c>
      <c r="C552" s="1" t="n">
        <v>45938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13597-2024</t>
        </is>
      </c>
      <c r="B553" s="1" t="n">
        <v>45390.31549768519</v>
      </c>
      <c r="C553" s="1" t="n">
        <v>45938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47844-2024</t>
        </is>
      </c>
      <c r="B554" s="1" t="n">
        <v>45588.65626157408</v>
      </c>
      <c r="C554" s="1" t="n">
        <v>45938</v>
      </c>
      <c r="D554" t="inlineStr">
        <is>
          <t>SKÅNE LÄN</t>
        </is>
      </c>
      <c r="E554" t="inlineStr">
        <is>
          <t>OSBY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47879-2024</t>
        </is>
      </c>
      <c r="B555" s="1" t="n">
        <v>45588.74049768518</v>
      </c>
      <c r="C555" s="1" t="n">
        <v>45938</v>
      </c>
      <c r="D555" t="inlineStr">
        <is>
          <t>SKÅNE LÄN</t>
        </is>
      </c>
      <c r="E555" t="inlineStr">
        <is>
          <t>OSBY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31624-2023</t>
        </is>
      </c>
      <c r="B556" s="1" t="n">
        <v>45117.55719907407</v>
      </c>
      <c r="C556" s="1" t="n">
        <v>45938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44430-2024</t>
        </is>
      </c>
      <c r="B557" s="1" t="n">
        <v>45573.97584490741</v>
      </c>
      <c r="C557" s="1" t="n">
        <v>45938</v>
      </c>
      <c r="D557" t="inlineStr">
        <is>
          <t>SKÅNE LÄN</t>
        </is>
      </c>
      <c r="E557" t="inlineStr">
        <is>
          <t>OSBY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41270-2025</t>
        </is>
      </c>
      <c r="B558" s="1" t="n">
        <v>45898.61960648148</v>
      </c>
      <c r="C558" s="1" t="n">
        <v>45938</v>
      </c>
      <c r="D558" t="inlineStr">
        <is>
          <t>SKÅNE LÄN</t>
        </is>
      </c>
      <c r="E558" t="inlineStr">
        <is>
          <t>OSBY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15232-2025</t>
        </is>
      </c>
      <c r="B559" s="1" t="n">
        <v>45744.60167824074</v>
      </c>
      <c r="C559" s="1" t="n">
        <v>45938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15525-2023</t>
        </is>
      </c>
      <c r="B560" s="1" t="n">
        <v>45016</v>
      </c>
      <c r="C560" s="1" t="n">
        <v>45938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60319-2024</t>
        </is>
      </c>
      <c r="B561" s="1" t="n">
        <v>45643.36903935186</v>
      </c>
      <c r="C561" s="1" t="n">
        <v>45938</v>
      </c>
      <c r="D561" t="inlineStr">
        <is>
          <t>SKÅNE LÄN</t>
        </is>
      </c>
      <c r="E561" t="inlineStr">
        <is>
          <t>OSBY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42400-2025</t>
        </is>
      </c>
      <c r="B562" s="1" t="n">
        <v>45905.3710300926</v>
      </c>
      <c r="C562" s="1" t="n">
        <v>45938</v>
      </c>
      <c r="D562" t="inlineStr">
        <is>
          <t>SKÅNE LÄN</t>
        </is>
      </c>
      <c r="E562" t="inlineStr">
        <is>
          <t>OSBY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42565-2025</t>
        </is>
      </c>
      <c r="B563" s="1" t="n">
        <v>45905.6021412037</v>
      </c>
      <c r="C563" s="1" t="n">
        <v>45938</v>
      </c>
      <c r="D563" t="inlineStr">
        <is>
          <t>SKÅNE LÄN</t>
        </is>
      </c>
      <c r="E563" t="inlineStr">
        <is>
          <t>OSBY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11555-2022</t>
        </is>
      </c>
      <c r="B564" s="1" t="n">
        <v>44631.45570601852</v>
      </c>
      <c r="C564" s="1" t="n">
        <v>45938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6605-2024</t>
        </is>
      </c>
      <c r="B565" s="1" t="n">
        <v>45341.56746527777</v>
      </c>
      <c r="C565" s="1" t="n">
        <v>45938</v>
      </c>
      <c r="D565" t="inlineStr">
        <is>
          <t>SKÅNE LÄN</t>
        </is>
      </c>
      <c r="E565" t="inlineStr">
        <is>
          <t>OSBY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9801-2024</t>
        </is>
      </c>
      <c r="B566" s="1" t="n">
        <v>45362.83111111111</v>
      </c>
      <c r="C566" s="1" t="n">
        <v>45938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42567-2025</t>
        </is>
      </c>
      <c r="B567" s="1" t="n">
        <v>45905.60511574074</v>
      </c>
      <c r="C567" s="1" t="n">
        <v>45938</v>
      </c>
      <c r="D567" t="inlineStr">
        <is>
          <t>SKÅNE LÄN</t>
        </is>
      </c>
      <c r="E567" t="inlineStr">
        <is>
          <t>OSBY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42614-2025</t>
        </is>
      </c>
      <c r="B568" s="1" t="n">
        <v>45905</v>
      </c>
      <c r="C568" s="1" t="n">
        <v>45938</v>
      </c>
      <c r="D568" t="inlineStr">
        <is>
          <t>SKÅNE LÄN</t>
        </is>
      </c>
      <c r="E568" t="inlineStr">
        <is>
          <t>OSBY</t>
        </is>
      </c>
      <c r="F568" t="inlineStr">
        <is>
          <t>Kyrkan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42570-2025</t>
        </is>
      </c>
      <c r="B569" s="1" t="n">
        <v>45905.60903935185</v>
      </c>
      <c r="C569" s="1" t="n">
        <v>45938</v>
      </c>
      <c r="D569" t="inlineStr">
        <is>
          <t>SKÅNE LÄN</t>
        </is>
      </c>
      <c r="E569" t="inlineStr">
        <is>
          <t>OSBY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6698-2023</t>
        </is>
      </c>
      <c r="B570" s="1" t="n">
        <v>44966</v>
      </c>
      <c r="C570" s="1" t="n">
        <v>45938</v>
      </c>
      <c r="D570" t="inlineStr">
        <is>
          <t>SKÅNE LÄN</t>
        </is>
      </c>
      <c r="E570" t="inlineStr">
        <is>
          <t>OSBY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41977-2023</t>
        </is>
      </c>
      <c r="B571" s="1" t="n">
        <v>45177.39659722222</v>
      </c>
      <c r="C571" s="1" t="n">
        <v>45938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12058-2024</t>
        </is>
      </c>
      <c r="B572" s="1" t="n">
        <v>45377.48920138889</v>
      </c>
      <c r="C572" s="1" t="n">
        <v>45938</v>
      </c>
      <c r="D572" t="inlineStr">
        <is>
          <t>SKÅNE LÄN</t>
        </is>
      </c>
      <c r="E572" t="inlineStr">
        <is>
          <t>OSBY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33741-2024</t>
        </is>
      </c>
      <c r="B573" s="1" t="n">
        <v>45520</v>
      </c>
      <c r="C573" s="1" t="n">
        <v>45938</v>
      </c>
      <c r="D573" t="inlineStr">
        <is>
          <t>SKÅNE LÄN</t>
        </is>
      </c>
      <c r="E573" t="inlineStr">
        <is>
          <t>OSBY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42610-2025</t>
        </is>
      </c>
      <c r="B574" s="1" t="n">
        <v>45905</v>
      </c>
      <c r="C574" s="1" t="n">
        <v>45938</v>
      </c>
      <c r="D574" t="inlineStr">
        <is>
          <t>SKÅNE LÄN</t>
        </is>
      </c>
      <c r="E574" t="inlineStr">
        <is>
          <t>OSBY</t>
        </is>
      </c>
      <c r="F574" t="inlineStr">
        <is>
          <t>Kyrkan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42793-2025</t>
        </is>
      </c>
      <c r="B575" s="1" t="n">
        <v>45908.5246412037</v>
      </c>
      <c r="C575" s="1" t="n">
        <v>45938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42798-2025</t>
        </is>
      </c>
      <c r="B576" s="1" t="n">
        <v>45908.53063657408</v>
      </c>
      <c r="C576" s="1" t="n">
        <v>45938</v>
      </c>
      <c r="D576" t="inlineStr">
        <is>
          <t>SKÅNE LÄN</t>
        </is>
      </c>
      <c r="E576" t="inlineStr">
        <is>
          <t>OSBY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59966-2024</t>
        </is>
      </c>
      <c r="B577" s="1" t="n">
        <v>45642.35851851852</v>
      </c>
      <c r="C577" s="1" t="n">
        <v>45938</v>
      </c>
      <c r="D577" t="inlineStr">
        <is>
          <t>SKÅNE LÄN</t>
        </is>
      </c>
      <c r="E577" t="inlineStr">
        <is>
          <t>OSBY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36267-2025</t>
        </is>
      </c>
      <c r="B578" s="1" t="n">
        <v>45867.6165625</v>
      </c>
      <c r="C578" s="1" t="n">
        <v>45938</v>
      </c>
      <c r="D578" t="inlineStr">
        <is>
          <t>SKÅNE LÄN</t>
        </is>
      </c>
      <c r="E578" t="inlineStr">
        <is>
          <t>OSBY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40395-2024</t>
        </is>
      </c>
      <c r="B579" s="1" t="n">
        <v>45555.43620370371</v>
      </c>
      <c r="C579" s="1" t="n">
        <v>45938</v>
      </c>
      <c r="D579" t="inlineStr">
        <is>
          <t>SKÅNE LÄN</t>
        </is>
      </c>
      <c r="E579" t="inlineStr">
        <is>
          <t>OSBY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23299-2024</t>
        </is>
      </c>
      <c r="B580" s="1" t="n">
        <v>45453.43618055555</v>
      </c>
      <c r="C580" s="1" t="n">
        <v>45938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27007-2024</t>
        </is>
      </c>
      <c r="B581" s="1" t="n">
        <v>45471.39863425926</v>
      </c>
      <c r="C581" s="1" t="n">
        <v>45938</v>
      </c>
      <c r="D581" t="inlineStr">
        <is>
          <t>SKÅNE LÄN</t>
        </is>
      </c>
      <c r="E581" t="inlineStr">
        <is>
          <t>OSBY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43069-2025</t>
        </is>
      </c>
      <c r="B582" s="1" t="n">
        <v>45909.59454861111</v>
      </c>
      <c r="C582" s="1" t="n">
        <v>45938</v>
      </c>
      <c r="D582" t="inlineStr">
        <is>
          <t>SKÅNE LÄN</t>
        </is>
      </c>
      <c r="E582" t="inlineStr">
        <is>
          <t>OSBY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43562-2025</t>
        </is>
      </c>
      <c r="B583" s="1" t="n">
        <v>45911.62892361111</v>
      </c>
      <c r="C583" s="1" t="n">
        <v>45938</v>
      </c>
      <c r="D583" t="inlineStr">
        <is>
          <t>SKÅNE LÄN</t>
        </is>
      </c>
      <c r="E583" t="inlineStr">
        <is>
          <t>OSBY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43551-2025</t>
        </is>
      </c>
      <c r="B584" s="1" t="n">
        <v>45911.61909722222</v>
      </c>
      <c r="C584" s="1" t="n">
        <v>45938</v>
      </c>
      <c r="D584" t="inlineStr">
        <is>
          <t>SKÅNE LÄN</t>
        </is>
      </c>
      <c r="E584" t="inlineStr">
        <is>
          <t>OSBY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43556-2025</t>
        </is>
      </c>
      <c r="B585" s="1" t="n">
        <v>45911.62393518518</v>
      </c>
      <c r="C585" s="1" t="n">
        <v>45938</v>
      </c>
      <c r="D585" t="inlineStr">
        <is>
          <t>SKÅNE LÄN</t>
        </is>
      </c>
      <c r="E585" t="inlineStr">
        <is>
          <t>OSBY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43559-2025</t>
        </is>
      </c>
      <c r="B586" s="1" t="n">
        <v>45911.626875</v>
      </c>
      <c r="C586" s="1" t="n">
        <v>45938</v>
      </c>
      <c r="D586" t="inlineStr">
        <is>
          <t>SKÅNE LÄN</t>
        </is>
      </c>
      <c r="E586" t="inlineStr">
        <is>
          <t>OSBY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50738-2023</t>
        </is>
      </c>
      <c r="B587" s="1" t="n">
        <v>45217</v>
      </c>
      <c r="C587" s="1" t="n">
        <v>45938</v>
      </c>
      <c r="D587" t="inlineStr">
        <is>
          <t>SKÅNE LÄN</t>
        </is>
      </c>
      <c r="E587" t="inlineStr">
        <is>
          <t>OSBY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50741-2023</t>
        </is>
      </c>
      <c r="B588" s="1" t="n">
        <v>45217</v>
      </c>
      <c r="C588" s="1" t="n">
        <v>45938</v>
      </c>
      <c r="D588" t="inlineStr">
        <is>
          <t>SKÅNE LÄN</t>
        </is>
      </c>
      <c r="E588" t="inlineStr">
        <is>
          <t>OSBY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43072-2025</t>
        </is>
      </c>
      <c r="B589" s="1" t="n">
        <v>45909.59811342593</v>
      </c>
      <c r="C589" s="1" t="n">
        <v>45938</v>
      </c>
      <c r="D589" t="inlineStr">
        <is>
          <t>SKÅNE LÄN</t>
        </is>
      </c>
      <c r="E589" t="inlineStr">
        <is>
          <t>OSBY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43067-2025</t>
        </is>
      </c>
      <c r="B590" s="1" t="n">
        <v>45909.59134259259</v>
      </c>
      <c r="C590" s="1" t="n">
        <v>45938</v>
      </c>
      <c r="D590" t="inlineStr">
        <is>
          <t>SKÅNE LÄN</t>
        </is>
      </c>
      <c r="E590" t="inlineStr">
        <is>
          <t>OSBY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23479-2024</t>
        </is>
      </c>
      <c r="B591" s="1" t="n">
        <v>45453</v>
      </c>
      <c r="C591" s="1" t="n">
        <v>45938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43827-2025</t>
        </is>
      </c>
      <c r="B592" s="1" t="n">
        <v>45912.62307870371</v>
      </c>
      <c r="C592" s="1" t="n">
        <v>45938</v>
      </c>
      <c r="D592" t="inlineStr">
        <is>
          <t>SKÅNE LÄN</t>
        </is>
      </c>
      <c r="E592" t="inlineStr">
        <is>
          <t>OSBY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43639-2025</t>
        </is>
      </c>
      <c r="B593" s="1" t="n">
        <v>45911.74438657407</v>
      </c>
      <c r="C593" s="1" t="n">
        <v>45938</v>
      </c>
      <c r="D593" t="inlineStr">
        <is>
          <t>SKÅNE LÄN</t>
        </is>
      </c>
      <c r="E593" t="inlineStr">
        <is>
          <t>OSBY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43896-2025</t>
        </is>
      </c>
      <c r="B594" s="1" t="n">
        <v>45912.84423611111</v>
      </c>
      <c r="C594" s="1" t="n">
        <v>45938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43897-2025</t>
        </is>
      </c>
      <c r="B595" s="1" t="n">
        <v>45912.84896990741</v>
      </c>
      <c r="C595" s="1" t="n">
        <v>45938</v>
      </c>
      <c r="D595" t="inlineStr">
        <is>
          <t>SKÅNE LÄN</t>
        </is>
      </c>
      <c r="E595" t="inlineStr">
        <is>
          <t>OSBY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43930-2025</t>
        </is>
      </c>
      <c r="B596" s="1" t="n">
        <v>45915.32856481482</v>
      </c>
      <c r="C596" s="1" t="n">
        <v>45938</v>
      </c>
      <c r="D596" t="inlineStr">
        <is>
          <t>SKÅNE LÄN</t>
        </is>
      </c>
      <c r="E596" t="inlineStr">
        <is>
          <t>OSBY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43932-2025</t>
        </is>
      </c>
      <c r="B597" s="1" t="n">
        <v>45915.33224537037</v>
      </c>
      <c r="C597" s="1" t="n">
        <v>45938</v>
      </c>
      <c r="D597" t="inlineStr">
        <is>
          <t>SKÅNE LÄN</t>
        </is>
      </c>
      <c r="E597" t="inlineStr">
        <is>
          <t>OSBY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43933-2025</t>
        </is>
      </c>
      <c r="B598" s="1" t="n">
        <v>45915.33744212963</v>
      </c>
      <c r="C598" s="1" t="n">
        <v>45938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44551-2025</t>
        </is>
      </c>
      <c r="B599" s="1" t="n">
        <v>45917.3375</v>
      </c>
      <c r="C599" s="1" t="n">
        <v>45938</v>
      </c>
      <c r="D599" t="inlineStr">
        <is>
          <t>SKÅNE LÄN</t>
        </is>
      </c>
      <c r="E599" t="inlineStr">
        <is>
          <t>OSBY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45232-2025</t>
        </is>
      </c>
      <c r="B600" s="1" t="n">
        <v>45919.59320601852</v>
      </c>
      <c r="C600" s="1" t="n">
        <v>45938</v>
      </c>
      <c r="D600" t="inlineStr">
        <is>
          <t>SKÅNE LÄN</t>
        </is>
      </c>
      <c r="E600" t="inlineStr">
        <is>
          <t>OSBY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44971-2025</t>
        </is>
      </c>
      <c r="B601" s="1" t="n">
        <v>45918.63648148148</v>
      </c>
      <c r="C601" s="1" t="n">
        <v>45938</v>
      </c>
      <c r="D601" t="inlineStr">
        <is>
          <t>SKÅNE LÄN</t>
        </is>
      </c>
      <c r="E601" t="inlineStr">
        <is>
          <t>OSBY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44851-2025</t>
        </is>
      </c>
      <c r="B602" s="1" t="n">
        <v>45918.44603009259</v>
      </c>
      <c r="C602" s="1" t="n">
        <v>45938</v>
      </c>
      <c r="D602" t="inlineStr">
        <is>
          <t>SKÅNE LÄN</t>
        </is>
      </c>
      <c r="E602" t="inlineStr">
        <is>
          <t>OSBY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45225-2025</t>
        </is>
      </c>
      <c r="B603" s="1" t="n">
        <v>45919.58362268518</v>
      </c>
      <c r="C603" s="1" t="n">
        <v>45938</v>
      </c>
      <c r="D603" t="inlineStr">
        <is>
          <t>SKÅNE LÄN</t>
        </is>
      </c>
      <c r="E603" t="inlineStr">
        <is>
          <t>OSBY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45053-2025</t>
        </is>
      </c>
      <c r="B604" s="1" t="n">
        <v>45919.31988425926</v>
      </c>
      <c r="C604" s="1" t="n">
        <v>45938</v>
      </c>
      <c r="D604" t="inlineStr">
        <is>
          <t>SKÅNE LÄN</t>
        </is>
      </c>
      <c r="E604" t="inlineStr">
        <is>
          <t>OSBY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45054-2025</t>
        </is>
      </c>
      <c r="B605" s="1" t="n">
        <v>45919.32181712963</v>
      </c>
      <c r="C605" s="1" t="n">
        <v>45938</v>
      </c>
      <c r="D605" t="inlineStr">
        <is>
          <t>SKÅNE LÄN</t>
        </is>
      </c>
      <c r="E605" t="inlineStr">
        <is>
          <t>OSBY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45729-2025</t>
        </is>
      </c>
      <c r="B606" s="1" t="n">
        <v>45923</v>
      </c>
      <c r="C606" s="1" t="n">
        <v>45938</v>
      </c>
      <c r="D606" t="inlineStr">
        <is>
          <t>SKÅNE LÄN</t>
        </is>
      </c>
      <c r="E606" t="inlineStr">
        <is>
          <t>OSBY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41654-2025</t>
        </is>
      </c>
      <c r="B607" s="1" t="n">
        <v>45902</v>
      </c>
      <c r="C607" s="1" t="n">
        <v>45938</v>
      </c>
      <c r="D607" t="inlineStr">
        <is>
          <t>SKÅNE LÄN</t>
        </is>
      </c>
      <c r="E607" t="inlineStr">
        <is>
          <t>OSBY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15893-2025</t>
        </is>
      </c>
      <c r="B608" s="1" t="n">
        <v>45749.41351851852</v>
      </c>
      <c r="C608" s="1" t="n">
        <v>45938</v>
      </c>
      <c r="D608" t="inlineStr">
        <is>
          <t>SKÅNE LÄN</t>
        </is>
      </c>
      <c r="E608" t="inlineStr">
        <is>
          <t>OSBY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2025-10-08T12:33:21Z</dcterms:created>
  <dcterms:modified xmlns:dcterms="http://purl.org/dc/terms/" xmlns:xsi="http://www.w3.org/2001/XMLSchema-instance" xsi:type="dcterms:W3CDTF">2025-10-08T12:33:21Z</dcterms:modified>
</cp:coreProperties>
</file>