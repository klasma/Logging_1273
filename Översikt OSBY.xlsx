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46221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Y2">
        <f>HYPERLINK("https://klasma.github.io/Logging_1273/klagomål/S 4405-2024 FSC-klagomål.docx", "S 4405-2024")</f>
        <v/>
      </c>
      <c r="Z2">
        <f>HYPERLINK("https://klasma.github.io/Logging_1273/klagomålsmail/S 4405-2024 FSC-klagomål mail.docx", "S 4405-2024")</f>
        <v/>
      </c>
      <c r="AA2">
        <f>HYPERLINK("https://klasma.github.io/Logging_1273/tillsyn/S 4405-2024 tillsynsbegäran.docx", "S 4405-2024")</f>
        <v/>
      </c>
      <c r="AB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46221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Y3">
        <f>HYPERLINK("https://klasma.github.io/Logging_1273/klagomål/S 28-2026 FSC-klagomål.docx", "S 28-2026")</f>
        <v/>
      </c>
      <c r="Z3">
        <f>HYPERLINK("https://klasma.github.io/Logging_1273/klagomålsmail/S 28-2026 FSC-klagomål mail.docx", "S 28-2026")</f>
        <v/>
      </c>
      <c r="AA3">
        <f>HYPERLINK("https://klasma.github.io/Logging_1273/tillsyn/S 28-2026 tillsynsbegäran.docx", "S 28-2026")</f>
        <v/>
      </c>
      <c r="AB3">
        <f>HYPERLINK("https://klasma.github.io/Logging_1273/tillsynsmail/S 28-2026 tillsynsbegäran mail.docx", "S 28-2026")</f>
        <v/>
      </c>
      <c r="AC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46221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Y4">
        <f>HYPERLINK("https://klasma.github.io/Logging_1273/klagomål/S 1130-2026 FSC-klagomål.docx", "S 1130-2026")</f>
        <v/>
      </c>
      <c r="Z4">
        <f>HYPERLINK("https://klasma.github.io/Logging_1273/klagomålsmail/S 1130-2026 FSC-klagomål mail.docx", "S 1130-2026")</f>
        <v/>
      </c>
      <c r="AA4">
        <f>HYPERLINK("https://klasma.github.io/Logging_1273/tillsyn/S 1130-2026 tillsynsbegäran.docx", "S 1130-2026")</f>
        <v/>
      </c>
      <c r="AB4">
        <f>HYPERLINK("https://klasma.github.io/Logging_1273/tillsynsmail/S 1130-2026 tillsynsbegäran mail.docx", "S 1130-2026")</f>
        <v/>
      </c>
      <c r="AC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46221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Y5">
        <f>HYPERLINK("https://klasma.github.io/Logging_1273/klagomål/S 3028-2023 FSC-klagomål.docx", "S 3028-2023")</f>
        <v/>
      </c>
      <c r="Z5">
        <f>HYPERLINK("https://klasma.github.io/Logging_1273/klagomålsmail/S 3028-2023 FSC-klagomål mail.docx", "S 3028-2023")</f>
        <v/>
      </c>
      <c r="AA5">
        <f>HYPERLINK("https://klasma.github.io/Logging_1273/tillsyn/S 3028-2023 tillsynsbegäran.docx", "S 3028-2023")</f>
        <v/>
      </c>
      <c r="AB5">
        <f>HYPERLINK("https://klasma.github.io/Logging_1273/tillsynsmail/S 3028-2023 tillsynsbegäran mail.docx", "S 3028-2023")</f>
        <v/>
      </c>
      <c r="AC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46221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Y6">
        <f>HYPERLINK("https://klasma.github.io/Logging_1273/klagomål/A 34184-2025 FSC-klagomål.docx", "A 34184-2025")</f>
        <v/>
      </c>
      <c r="Z6">
        <f>HYPERLINK("https://klasma.github.io/Logging_1273/klagomålsmail/A 34184-2025 FSC-klagomål mail.docx", "A 34184-2025")</f>
        <v/>
      </c>
      <c r="AA6">
        <f>HYPERLINK("https://klasma.github.io/Logging_1273/tillsyn/A 34184-2025 tillsynsbegäran.docx", "A 34184-2025")</f>
        <v/>
      </c>
      <c r="AB6">
        <f>HYPERLINK("https://klasma.github.io/Logging_1273/tillsynsmail/A 34184-2025 tillsynsbegäran mail.docx", "A 34184-2025")</f>
        <v/>
      </c>
      <c r="AC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46221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Y7">
        <f>HYPERLINK("https://klasma.github.io/Logging_1273/klagomål/A 35901-2022 FSC-klagomål.docx", "A 35901-2022")</f>
        <v/>
      </c>
      <c r="Z7">
        <f>HYPERLINK("https://klasma.github.io/Logging_1273/klagomålsmail/A 35901-2022 FSC-klagomål mail.docx", "A 35901-2022")</f>
        <v/>
      </c>
      <c r="AA7">
        <f>HYPERLINK("https://klasma.github.io/Logging_1273/tillsyn/A 35901-2022 tillsynsbegäran.docx", "A 35901-2022")</f>
        <v/>
      </c>
      <c r="AB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46221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Y8">
        <f>HYPERLINK("https://klasma.github.io/Logging_1273/klagomål/S 5311-2022 FSC-klagomål.docx", "S 5311-2022")</f>
        <v/>
      </c>
      <c r="Z8">
        <f>HYPERLINK("https://klasma.github.io/Logging_1273/klagomålsmail/S 5311-2022 FSC-klagomål mail.docx", "S 5311-2022")</f>
        <v/>
      </c>
      <c r="AA8">
        <f>HYPERLINK("https://klasma.github.io/Logging_1273/tillsyn/S 5311-2022 tillsynsbegäran.docx", "S 5311-2022")</f>
        <v/>
      </c>
      <c r="AB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46221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Y9">
        <f>HYPERLINK("https://klasma.github.io/Logging_1273/klagomål/S 4358-2021 FSC-klagomål.docx", "S 4358-2021")</f>
        <v/>
      </c>
      <c r="Z9">
        <f>HYPERLINK("https://klasma.github.io/Logging_1273/klagomålsmail/S 4358-2021 FSC-klagomål mail.docx", "S 4358-2021")</f>
        <v/>
      </c>
      <c r="AA9">
        <f>HYPERLINK("https://klasma.github.io/Logging_1273/tillsyn/S 4358-2021 tillsynsbegäran.docx", "S 4358-2021")</f>
        <v/>
      </c>
      <c r="AB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46221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Y10">
        <f>HYPERLINK("https://klasma.github.io/Logging_1273/klagomål/S 1578-2025 FSC-klagomål.docx", "S 1578-2025")</f>
        <v/>
      </c>
      <c r="Z10">
        <f>HYPERLINK("https://klasma.github.io/Logging_1273/klagomålsmail/S 1578-2025 FSC-klagomål mail.docx", "S 1578-2025")</f>
        <v/>
      </c>
      <c r="AA10">
        <f>HYPERLINK("https://klasma.github.io/Logging_1273/tillsyn/S 1578-2025 tillsynsbegäran.docx", "S 1578-2025")</f>
        <v/>
      </c>
      <c r="AB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46221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Y11">
        <f>HYPERLINK("https://klasma.github.io/Logging_1273/klagomål/S 29-2026 FSC-klagomål.docx", "S 29-2026")</f>
        <v/>
      </c>
      <c r="Z11">
        <f>HYPERLINK("https://klasma.github.io/Logging_1273/klagomålsmail/S 29-2026 FSC-klagomål mail.docx", "S 29-2026")</f>
        <v/>
      </c>
      <c r="AA11">
        <f>HYPERLINK("https://klasma.github.io/Logging_1273/tillsyn/S 29-2026 tillsynsbegäran.docx", "S 29-2026")</f>
        <v/>
      </c>
      <c r="AB11">
        <f>HYPERLINK("https://klasma.github.io/Logging_1273/tillsynsmail/S 29-2026 tillsynsbegäran mail.docx", "S 29-2026")</f>
        <v/>
      </c>
      <c r="AC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46221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Y12">
        <f>HYPERLINK("https://klasma.github.io/Logging_1273/klagomål/S 1129-2026 FSC-klagomål.docx", "S 1129-2026")</f>
        <v/>
      </c>
      <c r="Z12">
        <f>HYPERLINK("https://klasma.github.io/Logging_1273/klagomålsmail/S 1129-2026 FSC-klagomål mail.docx", "S 1129-2026")</f>
        <v/>
      </c>
      <c r="AA12">
        <f>HYPERLINK("https://klasma.github.io/Logging_1273/tillsyn/S 1129-2026 tillsynsbegäran.docx", "S 1129-2026")</f>
        <v/>
      </c>
      <c r="AB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46221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Y13">
        <f>HYPERLINK("https://klasma.github.io/Logging_1273/klagomål/S 1127-2026 FSC-klagomål.docx", "S 1127-2026")</f>
        <v/>
      </c>
      <c r="Z13">
        <f>HYPERLINK("https://klasma.github.io/Logging_1273/klagomålsmail/S 1127-2026 FSC-klagomål mail.docx", "S 1127-2026")</f>
        <v/>
      </c>
      <c r="AA13">
        <f>HYPERLINK("https://klasma.github.io/Logging_1273/tillsyn/S 1127-2026 tillsynsbegäran.docx", "S 1127-2026")</f>
        <v/>
      </c>
      <c r="AB13">
        <f>HYPERLINK("https://klasma.github.io/Logging_1273/tillsynsmail/S 1127-2026 tillsynsbegäran mail.docx", "S 1127-2026")</f>
        <v/>
      </c>
      <c r="AC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46221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Y14">
        <f>HYPERLINK("https://klasma.github.io/Logging_1273/klagomål/A 22038-2026 FSC-klagomål.docx", "A 22038-2026")</f>
        <v/>
      </c>
      <c r="Z14">
        <f>HYPERLINK("https://klasma.github.io/Logging_1273/klagomålsmail/A 22038-2026 FSC-klagomål mail.docx", "A 22038-2026")</f>
        <v/>
      </c>
      <c r="AA14">
        <f>HYPERLINK("https://klasma.github.io/Logging_1273/tillsyn/A 22038-2026 tillsynsbegäran.docx", "A 22038-2026")</f>
        <v/>
      </c>
      <c r="AB14">
        <f>HYPERLINK("https://klasma.github.io/Logging_1273/tillsynsmail/A 22038-2026 tillsynsbegäran mail.docx", "A 22038-2026")</f>
        <v/>
      </c>
      <c r="AC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46221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Y15">
        <f>HYPERLINK("https://klasma.github.io/Logging_1273/klagomål/A 54306-2021 FSC-klagomål.docx", "A 54306-2021")</f>
        <v/>
      </c>
      <c r="Z15">
        <f>HYPERLINK("https://klasma.github.io/Logging_1273/klagomålsmail/A 54306-2021 FSC-klagomål mail.docx", "A 54306-2021")</f>
        <v/>
      </c>
      <c r="AA15">
        <f>HYPERLINK("https://klasma.github.io/Logging_1273/tillsyn/A 54306-2021 tillsynsbegäran.docx", "A 54306-2021")</f>
        <v/>
      </c>
      <c r="AB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46221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s="2" t="inlineStr">
        <is>
          <t>Sädesärla
Kungsfågel</t>
        </is>
      </c>
      <c r="V16">
        <f>HYPERLINK("https://klasma.github.io/Logging_1273/artfynd/A 32705-2025 artfynd.xlsx", "A 32705-2025")</f>
        <v/>
      </c>
      <c r="W16">
        <f>HYPERLINK("https://klasma.github.io/Logging_1273/kartor/A 32705-2025 karta.png", "A 32705-2025")</f>
        <v/>
      </c>
      <c r="Y16">
        <f>HYPERLINK("https://klasma.github.io/Logging_1273/klagomål/A 32705-2025 FSC-klagomål.docx", "A 32705-2025")</f>
        <v/>
      </c>
      <c r="Z16">
        <f>HYPERLINK("https://klasma.github.io/Logging_1273/klagomålsmail/A 32705-2025 FSC-klagomål mail.docx", "A 32705-2025")</f>
        <v/>
      </c>
      <c r="AA16">
        <f>HYPERLINK("https://klasma.github.io/Logging_1273/tillsyn/A 32705-2025 tillsynsbegäran.docx", "A 32705-2025")</f>
        <v/>
      </c>
      <c r="AB16">
        <f>HYPERLINK("https://klasma.github.io/Logging_1273/tillsynsmail/A 32705-2025 tillsynsbegäran mail.docx", "A 32705-2025")</f>
        <v/>
      </c>
      <c r="AC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46221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Talltita
Kungsfågel</t>
        </is>
      </c>
      <c r="V17">
        <f>HYPERLINK("https://klasma.github.io/Logging_1273/artfynd/A 36266-2025 artfynd.xlsx", "A 36266-2025")</f>
        <v/>
      </c>
      <c r="W17">
        <f>HYPERLINK("https://klasma.github.io/Logging_1273/kartor/A 36266-2025 karta.png", "A 36266-2025")</f>
        <v/>
      </c>
      <c r="Y17">
        <f>HYPERLINK("https://klasma.github.io/Logging_1273/klagomål/A 36266-2025 FSC-klagomål.docx", "A 36266-2025")</f>
        <v/>
      </c>
      <c r="Z17">
        <f>HYPERLINK("https://klasma.github.io/Logging_1273/klagomålsmail/A 36266-2025 FSC-klagomål mail.docx", "A 36266-2025")</f>
        <v/>
      </c>
      <c r="AA17">
        <f>HYPERLINK("https://klasma.github.io/Logging_1273/tillsyn/A 36266-2025 tillsynsbegäran.docx", "A 36266-2025")</f>
        <v/>
      </c>
      <c r="AB17">
        <f>HYPERLINK("https://klasma.github.io/Logging_1273/tillsynsmail/A 36266-2025 tillsynsbegäran mail.docx", "A 36266-2025")</f>
        <v/>
      </c>
      <c r="AC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46221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Talltita
Kungsfågel</t>
        </is>
      </c>
      <c r="V18">
        <f>HYPERLINK("https://klasma.github.io/Logging_1273/artfynd/A 44851-2025 artfynd.xlsx", "A 44851-2025")</f>
        <v/>
      </c>
      <c r="W18">
        <f>HYPERLINK("https://klasma.github.io/Logging_1273/kartor/A 44851-2025 karta.png", "A 44851-2025")</f>
        <v/>
      </c>
      <c r="Y18">
        <f>HYPERLINK("https://klasma.github.io/Logging_1273/klagomål/A 44851-2025 FSC-klagomål.docx", "A 44851-2025")</f>
        <v/>
      </c>
      <c r="Z18">
        <f>HYPERLINK("https://klasma.github.io/Logging_1273/klagomålsmail/A 44851-2025 FSC-klagomål mail.docx", "A 44851-2025")</f>
        <v/>
      </c>
      <c r="AA18">
        <f>HYPERLINK("https://klasma.github.io/Logging_1273/tillsyn/A 44851-2025 tillsynsbegäran.docx", "A 44851-2025")</f>
        <v/>
      </c>
      <c r="AB18">
        <f>HYPERLINK("https://klasma.github.io/Logging_1273/tillsynsmail/A 44851-2025 tillsynsbegäran mail.docx", "A 44851-2025")</f>
        <v/>
      </c>
      <c r="AC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46221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Sjötåtel
Borsttåg</t>
        </is>
      </c>
      <c r="V19">
        <f>HYPERLINK("https://klasma.github.io/Logging_1273/artfynd/A 23811-2023 artfynd.xlsx", "A 23811-2023")</f>
        <v/>
      </c>
      <c r="W19">
        <f>HYPERLINK("https://klasma.github.io/Logging_1273/kartor/A 23811-2023 karta.png", "A 23811-2023")</f>
        <v/>
      </c>
      <c r="Y19">
        <f>HYPERLINK("https://klasma.github.io/Logging_1273/klagomål/A 23811-2023 FSC-klagomål.docx", "A 23811-2023")</f>
        <v/>
      </c>
      <c r="Z19">
        <f>HYPERLINK("https://klasma.github.io/Logging_1273/klagomålsmail/A 23811-2023 FSC-klagomål mail.docx", "A 23811-2023")</f>
        <v/>
      </c>
      <c r="AA19">
        <f>HYPERLINK("https://klasma.github.io/Logging_1273/tillsyn/A 23811-2023 tillsynsbegäran.docx", "A 23811-2023")</f>
        <v/>
      </c>
      <c r="AB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46221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Gröngöling</t>
        </is>
      </c>
      <c r="V20">
        <f>HYPERLINK("https://klasma.github.io/Logging_1273/artfynd/A 51859-2024 artfynd.xlsx", "A 51859-2024")</f>
        <v/>
      </c>
      <c r="W20">
        <f>HYPERLINK("https://klasma.github.io/Logging_1273/kartor/A 51859-2024 karta.png", "A 51859-2024")</f>
        <v/>
      </c>
      <c r="Y20">
        <f>HYPERLINK("https://klasma.github.io/Logging_1273/klagomål/A 51859-2024 FSC-klagomål.docx", "A 51859-2024")</f>
        <v/>
      </c>
      <c r="Z20">
        <f>HYPERLINK("https://klasma.github.io/Logging_1273/klagomålsmail/A 51859-2024 FSC-klagomål mail.docx", "A 51859-2024")</f>
        <v/>
      </c>
      <c r="AA20">
        <f>HYPERLINK("https://klasma.github.io/Logging_1273/tillsyn/A 51859-2024 tillsynsbegäran.docx", "A 51859-2024")</f>
        <v/>
      </c>
      <c r="AB20">
        <f>HYPERLINK("https://klasma.github.io/Logging_1273/tillsynsmail/A 51859-2024 tillsynsbegäran mail.docx", "A 51859-2024")</f>
        <v/>
      </c>
      <c r="AC20">
        <f>HYPERLINK("https://klasma.github.io/Logging_1273/fåglar/A 51859-2024 prioriterade fågelarter.docx", "A 51859-2024")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46221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Entita
Spillkråka</t>
        </is>
      </c>
      <c r="V21">
        <f>HYPERLINK("https://klasma.github.io/Logging_1273/artfynd/A 22036-2026 artfynd.xlsx", "A 22036-2026")</f>
        <v/>
      </c>
      <c r="W21">
        <f>HYPERLINK("https://klasma.github.io/Logging_1273/kartor/A 22036-2026 karta.png", "A 22036-2026")</f>
        <v/>
      </c>
      <c r="Y21">
        <f>HYPERLINK("https://klasma.github.io/Logging_1273/klagomål/A 22036-2026 FSC-klagomål.docx", "A 22036-2026")</f>
        <v/>
      </c>
      <c r="Z21">
        <f>HYPERLINK("https://klasma.github.io/Logging_1273/klagomålsmail/A 22036-2026 FSC-klagomål mail.docx", "A 22036-2026")</f>
        <v/>
      </c>
      <c r="AA21">
        <f>HYPERLINK("https://klasma.github.io/Logging_1273/tillsyn/A 22036-2026 tillsynsbegäran.docx", "A 22036-2026")</f>
        <v/>
      </c>
      <c r="AB21">
        <f>HYPERLINK("https://klasma.github.io/Logging_1273/tillsynsmail/A 22036-2026 tillsynsbegäran mail.docx", "A 22036-2026")</f>
        <v/>
      </c>
      <c r="AC21">
        <f>HYPERLINK("https://klasma.github.io/Logging_1273/fåglar/A 22036-2026 prioriterade fågelarter.docx", "A 22036-2026")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46221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Kortskaftad parasitspik
Rostfläck</t>
        </is>
      </c>
      <c r="V22">
        <f>HYPERLINK("https://klasma.github.io/Logging_1273/artfynd/A 8989-2024 artfynd.xlsx", "A 8989-2024")</f>
        <v/>
      </c>
      <c r="W22">
        <f>HYPERLINK("https://klasma.github.io/Logging_1273/kartor/A 8989-2024 karta.png", "A 8989-2024")</f>
        <v/>
      </c>
      <c r="Y22">
        <f>HYPERLINK("https://klasma.github.io/Logging_1273/klagomål/A 8989-2024 FSC-klagomål.docx", "A 8989-2024")</f>
        <v/>
      </c>
      <c r="Z22">
        <f>HYPERLINK("https://klasma.github.io/Logging_1273/klagomålsmail/A 8989-2024 FSC-klagomål mail.docx", "A 8989-2024")</f>
        <v/>
      </c>
      <c r="AA22">
        <f>HYPERLINK("https://klasma.github.io/Logging_1273/tillsyn/A 8989-2024 tillsynsbegäran.docx", "A 8989-2024")</f>
        <v/>
      </c>
      <c r="AB22">
        <f>HYPERLINK("https://klasma.github.io/Logging_1273/tillsynsmail/A 8989-2024 tillsynsbegäran mail.docx", "A 8989-2024")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46221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Y23">
        <f>HYPERLINK("https://klasma.github.io/Logging_1273/klagomål/S 1208-2022 FSC-klagomål.docx", "S 1208-2022")</f>
        <v/>
      </c>
      <c r="Z23">
        <f>HYPERLINK("https://klasma.github.io/Logging_1273/klagomålsmail/S 1208-2022 FSC-klagomål mail.docx", "S 1208-2022")</f>
        <v/>
      </c>
      <c r="AA23">
        <f>HYPERLINK("https://klasma.github.io/Logging_1273/tillsyn/S 1208-2022 tillsynsbegäran.docx", "S 1208-2022")</f>
        <v/>
      </c>
      <c r="AB23">
        <f>HYPERLINK("https://klasma.github.io/Logging_1273/tillsynsmail/S 1208-2022 tillsynsbegäran mail.docx", "S 1208-2022")</f>
        <v/>
      </c>
      <c r="AC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46221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Y24">
        <f>HYPERLINK("https://klasma.github.io/Logging_1273/klagomål/A 38643-2022 FSC-klagomål.docx", "A 38643-2022")</f>
        <v/>
      </c>
      <c r="Z24">
        <f>HYPERLINK("https://klasma.github.io/Logging_1273/klagomålsmail/A 38643-2022 FSC-klagomål mail.docx", "A 38643-2022")</f>
        <v/>
      </c>
      <c r="AA24">
        <f>HYPERLINK("https://klasma.github.io/Logging_1273/tillsyn/A 38643-2022 tillsynsbegäran.docx", "A 38643-2022")</f>
        <v/>
      </c>
      <c r="AB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46221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Y25">
        <f>HYPERLINK("https://klasma.github.io/Logging_1273/klagomål/A 47612-2022 FSC-klagomål.docx", "A 47612-2022")</f>
        <v/>
      </c>
      <c r="Z25">
        <f>HYPERLINK("https://klasma.github.io/Logging_1273/klagomålsmail/A 47612-2022 FSC-klagomål mail.docx", "A 47612-2022")</f>
        <v/>
      </c>
      <c r="AA25">
        <f>HYPERLINK("https://klasma.github.io/Logging_1273/tillsyn/A 47612-2022 tillsynsbegäran.docx", "A 47612-2022")</f>
        <v/>
      </c>
      <c r="AB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46221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Kungsfågel</t>
        </is>
      </c>
      <c r="V26">
        <f>HYPERLINK("https://klasma.github.io/Logging_1273/artfynd/A 23963-2022 artfynd.xlsx", "A 23963-2022")</f>
        <v/>
      </c>
      <c r="W26">
        <f>HYPERLINK("https://klasma.github.io/Logging_1273/kartor/A 23963-2022 karta.png", "A 23963-2022")</f>
        <v/>
      </c>
      <c r="Y26">
        <f>HYPERLINK("https://klasma.github.io/Logging_1273/klagomål/A 23963-2022 FSC-klagomål.docx", "A 23963-2022")</f>
        <v/>
      </c>
      <c r="Z26">
        <f>HYPERLINK("https://klasma.github.io/Logging_1273/klagomålsmail/A 23963-2022 FSC-klagomål mail.docx", "A 23963-2022")</f>
        <v/>
      </c>
      <c r="AA26">
        <f>HYPERLINK("https://klasma.github.io/Logging_1273/tillsyn/A 23963-2022 tillsynsbegäran.docx", "A 23963-2022")</f>
        <v/>
      </c>
      <c r="AB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46221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Pimpinellros</t>
        </is>
      </c>
      <c r="V27">
        <f>HYPERLINK("https://klasma.github.io/Logging_1273/artfynd/A 33491-2022 artfynd.xlsx", "A 33491-2022")</f>
        <v/>
      </c>
      <c r="W27">
        <f>HYPERLINK("https://klasma.github.io/Logging_1273/kartor/A 33491-2022 karta.png", "A 33491-2022")</f>
        <v/>
      </c>
      <c r="Y27">
        <f>HYPERLINK("https://klasma.github.io/Logging_1273/klagomål/A 33491-2022 FSC-klagomål.docx", "A 33491-2022")</f>
        <v/>
      </c>
      <c r="Z27">
        <f>HYPERLINK("https://klasma.github.io/Logging_1273/klagomålsmail/A 33491-2022 FSC-klagomål mail.docx", "A 33491-2022")</f>
        <v/>
      </c>
      <c r="AA27">
        <f>HYPERLINK("https://klasma.github.io/Logging_1273/tillsyn/A 33491-2022 tillsynsbegäran.docx", "A 33491-2022")</f>
        <v/>
      </c>
      <c r="AB27">
        <f>HYPERLINK("https://klasma.github.io/Logging_1273/tillsynsmail/A 33491-2022 tillsynsbegäran mail.docx", "A 33491-2022")</f>
        <v/>
      </c>
    </row>
    <row r="28" ht="15" customHeight="1">
      <c r="A28" t="inlineStr">
        <is>
          <t>A 10056-2024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45364</v>
      </c>
      <c r="E28" s="1" t="n">
        <v>46221</v>
      </c>
      <c r="F28" t="inlineStr">
        <is>
          <t>SKÅNE LÄN</t>
        </is>
      </c>
      <c r="G28" t="inlineStr">
        <is>
          <t>OSBY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Grönvit nattviol</t>
        </is>
      </c>
      <c r="V28">
        <f>HYPERLINK("https://klasma.github.io/Logging_1273/artfynd/A 10056-2024 artfynd.xlsx", "A 10056-2024")</f>
        <v/>
      </c>
      <c r="W28">
        <f>HYPERLINK("https://klasma.github.io/Logging_1273/kartor/A 10056-2024 karta.png", "A 10056-2024")</f>
        <v/>
      </c>
      <c r="Y28">
        <f>HYPERLINK("https://klasma.github.io/Logging_1273/klagomål/A 10056-2024 FSC-klagomål.docx", "A 10056-2024")</f>
        <v/>
      </c>
      <c r="Z28">
        <f>HYPERLINK("https://klasma.github.io/Logging_1273/klagomålsmail/A 10056-2024 FSC-klagomål mail.docx", "A 10056-2024")</f>
        <v/>
      </c>
      <c r="AA28">
        <f>HYPERLINK("https://klasma.github.io/Logging_1273/tillsyn/A 10056-2024 tillsynsbegäran.docx", "A 10056-2024")</f>
        <v/>
      </c>
      <c r="AB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46221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4.4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Blodticka</t>
        </is>
      </c>
      <c r="V29">
        <f>HYPERLINK("https://klasma.github.io/Logging_1273/artfynd/A 61517-2022 artfynd.xlsx", "A 61517-2022")</f>
        <v/>
      </c>
      <c r="W29">
        <f>HYPERLINK("https://klasma.github.io/Logging_1273/kartor/A 61517-2022 karta.png", "A 61517-2022")</f>
        <v/>
      </c>
      <c r="Y29">
        <f>HYPERLINK("https://klasma.github.io/Logging_1273/klagomål/A 61517-2022 FSC-klagomål.docx", "A 61517-2022")</f>
        <v/>
      </c>
      <c r="Z29">
        <f>HYPERLINK("https://klasma.github.io/Logging_1273/klagomålsmail/A 61517-2022 FSC-klagomål mail.docx", "A 61517-2022")</f>
        <v/>
      </c>
      <c r="AA29">
        <f>HYPERLINK("https://klasma.github.io/Logging_1273/tillsyn/A 61517-2022 tillsynsbegäran.docx", "A 61517-2022")</f>
        <v/>
      </c>
      <c r="AB29">
        <f>HYPERLINK("https://klasma.github.io/Logging_1273/tillsynsmail/A 61517-2022 tillsynsbegäran mail.docx", "A 61517-2022")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46221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Havstulpanlav</t>
        </is>
      </c>
      <c r="V30">
        <f>HYPERLINK("https://klasma.github.io/Logging_1273/artfynd/A 42610-2025 artfynd.xlsx", "A 42610-2025")</f>
        <v/>
      </c>
      <c r="W30">
        <f>HYPERLINK("https://klasma.github.io/Logging_1273/kartor/A 42610-2025 karta.png", "A 42610-2025")</f>
        <v/>
      </c>
      <c r="Y30">
        <f>HYPERLINK("https://klasma.github.io/Logging_1273/klagomål/A 42610-2025 FSC-klagomål.docx", "A 42610-2025")</f>
        <v/>
      </c>
      <c r="Z30">
        <f>HYPERLINK("https://klasma.github.io/Logging_1273/klagomålsmail/A 42610-2025 FSC-klagomål mail.docx", "A 42610-2025")</f>
        <v/>
      </c>
      <c r="AA30">
        <f>HYPERLINK("https://klasma.github.io/Logging_1273/tillsyn/A 42610-2025 tillsynsbegäran.docx", "A 42610-2025")</f>
        <v/>
      </c>
      <c r="AB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46221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HYPERLINK("https://klasma.github.io/Logging_1273/artfynd/A 43095-2025 artfynd.xlsx", "A 43095-2025")</f>
        <v/>
      </c>
      <c r="W31">
        <f>HYPERLINK("https://klasma.github.io/Logging_1273/kartor/A 43095-2025 karta.png", "A 43095-2025")</f>
        <v/>
      </c>
      <c r="Y31">
        <f>HYPERLINK("https://klasma.github.io/Logging_1273/klagomål/A 43095-2025 FSC-klagomål.docx", "A 43095-2025")</f>
        <v/>
      </c>
      <c r="Z31">
        <f>HYPERLINK("https://klasma.github.io/Logging_1273/klagomålsmail/A 43095-2025 FSC-klagomål mail.docx", "A 43095-2025")</f>
        <v/>
      </c>
      <c r="AA31">
        <f>HYPERLINK("https://klasma.github.io/Logging_1273/tillsyn/A 43095-2025 tillsynsbegäran.docx", "A 43095-2025")</f>
        <v/>
      </c>
      <c r="AB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46221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Kopparödla</t>
        </is>
      </c>
      <c r="V32">
        <f>HYPERLINK("https://klasma.github.io/Logging_1273/artfynd/A 46477-2025 artfynd.xlsx", "A 46477-2025")</f>
        <v/>
      </c>
      <c r="W32">
        <f>HYPERLINK("https://klasma.github.io/Logging_1273/kartor/A 46477-2025 karta.png", "A 46477-2025")</f>
        <v/>
      </c>
      <c r="Y32">
        <f>HYPERLINK("https://klasma.github.io/Logging_1273/klagomål/A 46477-2025 FSC-klagomål.docx", "A 46477-2025")</f>
        <v/>
      </c>
      <c r="Z32">
        <f>HYPERLINK("https://klasma.github.io/Logging_1273/klagomålsmail/A 46477-2025 FSC-klagomål mail.docx", "A 46477-2025")</f>
        <v/>
      </c>
      <c r="AA32">
        <f>HYPERLINK("https://klasma.github.io/Logging_1273/tillsyn/A 46477-2025 tillsynsbegäran.docx", "A 46477-2025")</f>
        <v/>
      </c>
      <c r="AB32">
        <f>HYPERLINK("https://klasma.github.io/Logging_1273/tillsynsmail/A 46477-2025 tillsynsbegäran mail.docx", "A 46477-2025")</f>
        <v/>
      </c>
    </row>
    <row r="33" ht="15" customHeight="1">
      <c r="A33" t="inlineStr">
        <is>
          <t>A 59677-2023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45255</v>
      </c>
      <c r="E33" s="1" t="n">
        <v>46221</v>
      </c>
      <c r="F33" t="inlineStr">
        <is>
          <t>SKÅNE LÄN</t>
        </is>
      </c>
      <c r="G33" t="inlineStr">
        <is>
          <t>OSBY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HYPERLINK("https://klasma.github.io/Logging_1273/artfynd/A 59677-2023 artfynd.xlsx", "A 59677-2023")</f>
        <v/>
      </c>
      <c r="W33">
        <f>HYPERLINK("https://klasma.github.io/Logging_1273/kartor/A 59677-2023 karta.png", "A 59677-2023")</f>
        <v/>
      </c>
      <c r="Y33">
        <f>HYPERLINK("https://klasma.github.io/Logging_1273/klagomål/A 59677-2023 FSC-klagomål.docx", "A 59677-2023")</f>
        <v/>
      </c>
      <c r="Z33">
        <f>HYPERLINK("https://klasma.github.io/Logging_1273/klagomålsmail/A 59677-2023 FSC-klagomål mail.docx", "A 59677-2023")</f>
        <v/>
      </c>
      <c r="AA33">
        <f>HYPERLINK("https://klasma.github.io/Logging_1273/tillsyn/A 59677-2023 tillsynsbegäran.docx", "A 59677-2023")</f>
        <v/>
      </c>
      <c r="AB33">
        <f>HYPERLINK("https://klasma.github.io/Logging_1273/tillsynsmail/A 59677-2023 tillsynsbegäran mail.docx", "A 59677-2023")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46221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s="2" t="inlineStr">
        <is>
          <t>Ask</t>
        </is>
      </c>
      <c r="V34">
        <f>HYPERLINK("https://klasma.github.io/Logging_1273/artfynd/A 60983-2025 artfynd.xlsx", "A 60983-2025")</f>
        <v/>
      </c>
      <c r="W34">
        <f>HYPERLINK("https://klasma.github.io/Logging_1273/kartor/A 60983-2025 karta.png", "A 60983-2025")</f>
        <v/>
      </c>
      <c r="Y34">
        <f>HYPERLINK("https://klasma.github.io/Logging_1273/klagomål/A 60983-2025 FSC-klagomål.docx", "A 60983-2025")</f>
        <v/>
      </c>
      <c r="Z34">
        <f>HYPERLINK("https://klasma.github.io/Logging_1273/klagomålsmail/A 60983-2025 FSC-klagomål mail.docx", "A 60983-2025")</f>
        <v/>
      </c>
      <c r="AA34">
        <f>HYPERLINK("https://klasma.github.io/Logging_1273/tillsyn/A 60983-2025 tillsynsbegäran.docx", "A 60983-2025")</f>
        <v/>
      </c>
      <c r="AB34">
        <f>HYPERLINK("https://klasma.github.io/Logging_1273/tillsynsmail/A 60983-2025 tillsynsbegäran mail.docx", "A 60983-2025")</f>
        <v/>
      </c>
    </row>
    <row r="35" ht="15" customHeight="1">
      <c r="A35" t="inlineStr">
        <is>
          <t>A 33064-2023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45126</v>
      </c>
      <c r="E35" s="1" t="n">
        <v>46221</v>
      </c>
      <c r="F35" t="inlineStr">
        <is>
          <t>SKÅNE LÄN</t>
        </is>
      </c>
      <c r="G35" t="inlineStr">
        <is>
          <t>OSBY</t>
        </is>
      </c>
      <c r="I35" t="n">
        <v>0.8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HYPERLINK("https://klasma.github.io/Logging_1273/artfynd/A 33064-2023 artfynd.xlsx", "A 33064-2023")</f>
        <v/>
      </c>
      <c r="W35">
        <f>HYPERLINK("https://klasma.github.io/Logging_1273/kartor/A 33064-2023 karta.png", "A 33064-2023")</f>
        <v/>
      </c>
      <c r="X35">
        <f>HYPERLINK("https://klasma.github.io/Logging_1273/knärot/A 33064-2023 karta knärot.png", "A 33064-2023")</f>
        <v/>
      </c>
      <c r="Y35">
        <f>HYPERLINK("https://klasma.github.io/Logging_1273/klagomål/A 33064-2023 FSC-klagomål.docx", "A 33064-2023")</f>
        <v/>
      </c>
      <c r="Z35">
        <f>HYPERLINK("https://klasma.github.io/Logging_1273/klagomålsmail/A 33064-2023 FSC-klagomål mail.docx", "A 33064-2023")</f>
        <v/>
      </c>
      <c r="AA35">
        <f>HYPERLINK("https://klasma.github.io/Logging_1273/tillsyn/A 33064-2023 tillsynsbegäran.docx", "A 33064-2023")</f>
        <v/>
      </c>
      <c r="AB35">
        <f>HYPERLINK("https://klasma.github.io/Logging_1273/tillsynsmail/A 33064-2023 tillsynsbegäran mail.docx", "A 33064-2023")</f>
        <v/>
      </c>
    </row>
    <row r="36" ht="15" customHeight="1">
      <c r="A36" t="inlineStr">
        <is>
          <t>A 13143-2023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45002</v>
      </c>
      <c r="E36" s="1" t="n">
        <v>46221</v>
      </c>
      <c r="F36" t="inlineStr">
        <is>
          <t>SKÅNE LÄN</t>
        </is>
      </c>
      <c r="G36" t="inlineStr">
        <is>
          <t>OSBY</t>
        </is>
      </c>
      <c r="I36" t="n">
        <v>13.5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Klippfrullania</t>
        </is>
      </c>
      <c r="V36">
        <f>HYPERLINK("https://klasma.github.io/Logging_1273/artfynd/A 13143-2023 artfynd.xlsx", "A 13143-2023")</f>
        <v/>
      </c>
      <c r="W36">
        <f>HYPERLINK("https://klasma.github.io/Logging_1273/kartor/A 13143-2023 karta.png", "A 13143-2023")</f>
        <v/>
      </c>
      <c r="Y36">
        <f>HYPERLINK("https://klasma.github.io/Logging_1273/klagomål/A 13143-2023 FSC-klagomål.docx", "A 13143-2023")</f>
        <v/>
      </c>
      <c r="Z36">
        <f>HYPERLINK("https://klasma.github.io/Logging_1273/klagomålsmail/A 13143-2023 FSC-klagomål mail.docx", "A 13143-2023")</f>
        <v/>
      </c>
      <c r="AA36">
        <f>HYPERLINK("https://klasma.github.io/Logging_1273/tillsyn/A 13143-2023 tillsynsbegäran.docx", "A 13143-2023")</f>
        <v/>
      </c>
      <c r="AB36">
        <f>HYPERLINK("https://klasma.github.io/Logging_1273/tillsynsmail/A 13143-2023 tillsynsbegäran mail.docx", "A 13143-2023")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46221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Sparvuggla</t>
        </is>
      </c>
      <c r="V37">
        <f>HYPERLINK("https://klasma.github.io/Logging_1273/artfynd/A 33486-2022 artfynd.xlsx", "A 33486-2022")</f>
        <v/>
      </c>
      <c r="W37">
        <f>HYPERLINK("https://klasma.github.io/Logging_1273/kartor/A 33486-2022 karta.png", "A 33486-2022")</f>
        <v/>
      </c>
      <c r="Y37">
        <f>HYPERLINK("https://klasma.github.io/Logging_1273/klagomål/A 33486-2022 FSC-klagomål.docx", "A 33486-2022")</f>
        <v/>
      </c>
      <c r="Z37">
        <f>HYPERLINK("https://klasma.github.io/Logging_1273/klagomålsmail/A 33486-2022 FSC-klagomål mail.docx", "A 33486-2022")</f>
        <v/>
      </c>
      <c r="AA37">
        <f>HYPERLINK("https://klasma.github.io/Logging_1273/tillsyn/A 33486-2022 tillsynsbegäran.docx", "A 33486-2022")</f>
        <v/>
      </c>
      <c r="AB37">
        <f>HYPERLINK("https://klasma.github.io/Logging_1273/tillsynsmail/A 33486-2022 tillsynsbegäran mail.docx", "A 33486-2022")</f>
        <v/>
      </c>
      <c r="AC37">
        <f>HYPERLINK("https://klasma.github.io/Logging_1273/fåglar/A 33486-2022 prioriterade fågelarter.docx", "A 33486-2022")</f>
        <v/>
      </c>
    </row>
    <row r="38" ht="15" customHeight="1">
      <c r="A38" t="inlineStr">
        <is>
          <t>A 42027-2023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45177</v>
      </c>
      <c r="E38" s="1" t="n">
        <v>46221</v>
      </c>
      <c r="F38" t="inlineStr">
        <is>
          <t>SKÅNE LÄN</t>
        </is>
      </c>
      <c r="G38" t="inlineStr">
        <is>
          <t>OSBY</t>
        </is>
      </c>
      <c r="H38" t="inlineStr">
        <is>
          <t>Kommuner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Grovticka</t>
        </is>
      </c>
      <c r="V38">
        <f>HYPERLINK("https://klasma.github.io/Logging_1273/artfynd/A 42027-2023 artfynd.xlsx", "A 42027-2023")</f>
        <v/>
      </c>
      <c r="W38">
        <f>HYPERLINK("https://klasma.github.io/Logging_1273/kartor/A 42027-2023 karta.png", "A 42027-2023")</f>
        <v/>
      </c>
      <c r="Y38">
        <f>HYPERLINK("https://klasma.github.io/Logging_1273/klagomål/A 42027-2023 FSC-klagomål.docx", "A 42027-2023")</f>
        <v/>
      </c>
      <c r="Z38">
        <f>HYPERLINK("https://klasma.github.io/Logging_1273/klagomålsmail/A 42027-2023 FSC-klagomål mail.docx", "A 42027-2023")</f>
        <v/>
      </c>
      <c r="AA38">
        <f>HYPERLINK("https://klasma.github.io/Logging_1273/tillsyn/A 42027-2023 tillsynsbegäran.docx", "A 42027-2023")</f>
        <v/>
      </c>
      <c r="AB38">
        <f>HYPERLINK("https://klasma.github.io/Logging_1273/tillsynsmail/A 42027-2023 tillsynsbegäran mail.docx", "A 42027-2023")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46221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HYPERLINK("https://klasma.github.io/Logging_1273/artfynd/A 24720-2025 artfynd.xlsx", "A 24720-2025")</f>
        <v/>
      </c>
      <c r="W39">
        <f>HYPERLINK("https://klasma.github.io/Logging_1273/kartor/A 24720-2025 karta.png", "A 24720-2025")</f>
        <v/>
      </c>
      <c r="Y39">
        <f>HYPERLINK("https://klasma.github.io/Logging_1273/klagomål/A 24720-2025 FSC-klagomål.docx", "A 24720-2025")</f>
        <v/>
      </c>
      <c r="Z39">
        <f>HYPERLINK("https://klasma.github.io/Logging_1273/klagomålsmail/A 24720-2025 FSC-klagomål mail.docx", "A 24720-2025")</f>
        <v/>
      </c>
      <c r="AA39">
        <f>HYPERLINK("https://klasma.github.io/Logging_1273/tillsyn/A 24720-2025 tillsynsbegäran.docx", "A 24720-2025")</f>
        <v/>
      </c>
      <c r="AB39">
        <f>HYPERLINK("https://klasma.github.io/Logging_1273/tillsynsmail/A 24720-2025 tillsynsbegäran mail.docx", "A 24720-2025")</f>
        <v/>
      </c>
    </row>
    <row r="40" ht="15" customHeight="1">
      <c r="A40" t="inlineStr">
        <is>
          <t>A 31722-2023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46221</v>
      </c>
      <c r="F40" t="inlineStr">
        <is>
          <t>SKÅNE LÄN</t>
        </is>
      </c>
      <c r="G40" t="inlineStr">
        <is>
          <t>OSBY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HYPERLINK("https://klasma.github.io/Logging_1273/artfynd/A 31722-2023 artfynd.xlsx", "A 31722-2023")</f>
        <v/>
      </c>
      <c r="W40">
        <f>HYPERLINK("https://klasma.github.io/Logging_1273/kartor/A 31722-2023 karta.png", "A 31722-2023")</f>
        <v/>
      </c>
      <c r="Y40">
        <f>HYPERLINK("https://klasma.github.io/Logging_1273/klagomål/A 31722-2023 FSC-klagomål.docx", "A 31722-2023")</f>
        <v/>
      </c>
      <c r="Z40">
        <f>HYPERLINK("https://klasma.github.io/Logging_1273/klagomålsmail/A 31722-2023 FSC-klagomål mail.docx", "A 31722-2023")</f>
        <v/>
      </c>
      <c r="AA40">
        <f>HYPERLINK("https://klasma.github.io/Logging_1273/tillsyn/A 31722-2023 tillsynsbegäran.docx", "A 31722-2023")</f>
        <v/>
      </c>
      <c r="AB40">
        <f>HYPERLINK("https://klasma.github.io/Logging_1273/tillsynsmail/A 31722-2023 tillsynsbegäran mail.docx", "A 31722-2023")</f>
        <v/>
      </c>
    </row>
    <row r="41" ht="15" customHeight="1">
      <c r="A41" t="inlineStr">
        <is>
          <t>A 50741-2023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46221</v>
      </c>
      <c r="F41" t="inlineStr">
        <is>
          <t>SKÅNE LÄN</t>
        </is>
      </c>
      <c r="G41" t="inlineStr">
        <is>
          <t>OSBY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Mattlummer</t>
        </is>
      </c>
      <c r="V41">
        <f>HYPERLINK("https://klasma.github.io/Logging_1273/artfynd/A 50741-2023 artfynd.xlsx", "A 50741-2023")</f>
        <v/>
      </c>
      <c r="W41">
        <f>HYPERLINK("https://klasma.github.io/Logging_1273/kartor/A 50741-2023 karta.png", "A 50741-2023")</f>
        <v/>
      </c>
      <c r="Y41">
        <f>HYPERLINK("https://klasma.github.io/Logging_1273/klagomål/A 50741-2023 FSC-klagomål.docx", "A 50741-2023")</f>
        <v/>
      </c>
      <c r="Z41">
        <f>HYPERLINK("https://klasma.github.io/Logging_1273/klagomålsmail/A 50741-2023 FSC-klagomål mail.docx", "A 50741-2023")</f>
        <v/>
      </c>
      <c r="AA41">
        <f>HYPERLINK("https://klasma.github.io/Logging_1273/tillsyn/A 50741-2023 tillsynsbegäran.docx", "A 50741-2023")</f>
        <v/>
      </c>
      <c r="AB41">
        <f>HYPERLINK("https://klasma.github.io/Logging_1273/tillsynsmail/A 50741-2023 tillsynsbegäran mail.docx", "A 50741-2023")</f>
        <v/>
      </c>
    </row>
    <row r="42" ht="15" customHeight="1">
      <c r="A42" t="inlineStr">
        <is>
          <t>A 20227-2022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44698</v>
      </c>
      <c r="E42" s="1" t="n">
        <v>46221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7.1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Havsörn</t>
        </is>
      </c>
      <c r="V42">
        <f>HYPERLINK("https://klasma.github.io/Logging_1273/artfynd/A 20227-2022 artfynd.xlsx", "A 20227-2022")</f>
        <v/>
      </c>
      <c r="W42">
        <f>HYPERLINK("https://klasma.github.io/Logging_1273/kartor/A 20227-2022 karta.png", "A 20227-2022")</f>
        <v/>
      </c>
      <c r="Y42">
        <f>HYPERLINK("https://klasma.github.io/Logging_1273/klagomål/A 20227-2022 FSC-klagomål.docx", "A 20227-2022")</f>
        <v/>
      </c>
      <c r="Z42">
        <f>HYPERLINK("https://klasma.github.io/Logging_1273/klagomålsmail/A 20227-2022 FSC-klagomål mail.docx", "A 20227-2022")</f>
        <v/>
      </c>
      <c r="AA42">
        <f>HYPERLINK("https://klasma.github.io/Logging_1273/tillsyn/A 20227-2022 tillsynsbegäran.docx", "A 20227-2022")</f>
        <v/>
      </c>
      <c r="AB42">
        <f>HYPERLINK("https://klasma.github.io/Logging_1273/tillsynsmail/A 20227-2022 tillsynsbegäran mail.docx", "A 20227-2022")</f>
        <v/>
      </c>
      <c r="AC42">
        <f>HYPERLINK("https://klasma.github.io/Logging_1273/fåglar/A 20227-2022 prioriterade fågelarter.docx", "A 20227-2022")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46221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Skogsduva</t>
        </is>
      </c>
      <c r="V43">
        <f>HYPERLINK("https://klasma.github.io/Logging_1273/artfynd/A 26457-2026 artfynd.xlsx", "A 26457-2026")</f>
        <v/>
      </c>
      <c r="W43">
        <f>HYPERLINK("https://klasma.github.io/Logging_1273/kartor/A 26457-2026 karta.png", "A 26457-2026")</f>
        <v/>
      </c>
      <c r="Y43">
        <f>HYPERLINK("https://klasma.github.io/Logging_1273/klagomål/A 26457-2026 FSC-klagomål.docx", "A 26457-2026")</f>
        <v/>
      </c>
      <c r="Z43">
        <f>HYPERLINK("https://klasma.github.io/Logging_1273/klagomålsmail/A 26457-2026 FSC-klagomål mail.docx", "A 26457-2026")</f>
        <v/>
      </c>
      <c r="AA43">
        <f>HYPERLINK("https://klasma.github.io/Logging_1273/tillsyn/A 26457-2026 tillsynsbegäran.docx", "A 26457-2026")</f>
        <v/>
      </c>
      <c r="AB43">
        <f>HYPERLINK("https://klasma.github.io/Logging_1273/tillsynsmail/A 26457-2026 tillsynsbegäran mail.docx", "A 26457-2026")</f>
        <v/>
      </c>
    </row>
    <row r="44" ht="15" customHeight="1">
      <c r="A44" t="inlineStr">
        <is>
          <t>A 24543-2026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46221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HYPERLINK("https://klasma.github.io/Logging_1273/artfynd/A 24543-2026 artfynd.xlsx", "A 24543-2026")</f>
        <v/>
      </c>
      <c r="W44">
        <f>HYPERLINK("https://klasma.github.io/Logging_1273/kartor/A 24543-2026 karta.png", "A 24543-2026")</f>
        <v/>
      </c>
      <c r="Y44">
        <f>HYPERLINK("https://klasma.github.io/Logging_1273/klagomål/A 24543-2026 FSC-klagomål.docx", "A 24543-2026")</f>
        <v/>
      </c>
      <c r="Z44">
        <f>HYPERLINK("https://klasma.github.io/Logging_1273/klagomålsmail/A 24543-2026 FSC-klagomål mail.docx", "A 24543-2026")</f>
        <v/>
      </c>
      <c r="AA44">
        <f>HYPERLINK("https://klasma.github.io/Logging_1273/tillsyn/A 24543-2026 tillsynsbegäran.docx", "A 24543-2026")</f>
        <v/>
      </c>
      <c r="AB44">
        <f>HYPERLINK("https://klasma.github.io/Logging_1273/tillsynsmail/A 24543-2026 tillsynsbegäran mail.docx", "A 24543-2026")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46221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Kungsfågel</t>
        </is>
      </c>
      <c r="V45">
        <f>HYPERLINK("https://klasma.github.io/Logging_1273/artfynd/A 25909-2026 artfynd.xlsx", "A 25909-2026")</f>
        <v/>
      </c>
      <c r="W45">
        <f>HYPERLINK("https://klasma.github.io/Logging_1273/kartor/A 25909-2026 karta.png", "A 25909-2026")</f>
        <v/>
      </c>
      <c r="Y45">
        <f>HYPERLINK("https://klasma.github.io/Logging_1273/klagomål/A 25909-2026 FSC-klagomål.docx", "A 25909-2026")</f>
        <v/>
      </c>
      <c r="Z45">
        <f>HYPERLINK("https://klasma.github.io/Logging_1273/klagomålsmail/A 25909-2026 FSC-klagomål mail.docx", "A 25909-2026")</f>
        <v/>
      </c>
      <c r="AA45">
        <f>HYPERLINK("https://klasma.github.io/Logging_1273/tillsyn/A 25909-2026 tillsynsbegäran.docx", "A 25909-2026")</f>
        <v/>
      </c>
      <c r="AB45">
        <f>HYPERLINK("https://klasma.github.io/Logging_1273/tillsynsmail/A 25909-2026 tillsynsbegäran mail.docx", "A 25909-2026")</f>
        <v/>
      </c>
    </row>
    <row r="46" ht="15" customHeight="1">
      <c r="A46" t="inlineStr">
        <is>
          <t>A 16837-2023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45033</v>
      </c>
      <c r="E46" s="1" t="n">
        <v>46221</v>
      </c>
      <c r="F46" t="inlineStr">
        <is>
          <t>SKÅNE LÄN</t>
        </is>
      </c>
      <c r="G46" t="inlineStr">
        <is>
          <t>OSBY</t>
        </is>
      </c>
      <c r="I46" t="n">
        <v>0.7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Talltita</t>
        </is>
      </c>
      <c r="V46">
        <f>HYPERLINK("https://klasma.github.io/Logging_1273/artfynd/A 16837-2023 artfynd.xlsx", "A 16837-2023")</f>
        <v/>
      </c>
      <c r="W46">
        <f>HYPERLINK("https://klasma.github.io/Logging_1273/kartor/A 16837-2023 karta.png", "A 16837-2023")</f>
        <v/>
      </c>
      <c r="Y46">
        <f>HYPERLINK("https://klasma.github.io/Logging_1273/klagomål/A 16837-2023 FSC-klagomål.docx", "A 16837-2023")</f>
        <v/>
      </c>
      <c r="Z46">
        <f>HYPERLINK("https://klasma.github.io/Logging_1273/klagomålsmail/A 16837-2023 FSC-klagomål mail.docx", "A 16837-2023")</f>
        <v/>
      </c>
      <c r="AA46">
        <f>HYPERLINK("https://klasma.github.io/Logging_1273/tillsyn/A 16837-2023 tillsynsbegäran.docx", "A 16837-2023")</f>
        <v/>
      </c>
      <c r="AB46">
        <f>HYPERLINK("https://klasma.github.io/Logging_1273/tillsynsmail/A 16837-2023 tillsynsbegäran mail.docx", "A 16837-2023")</f>
        <v/>
      </c>
      <c r="AC46">
        <f>HYPERLINK("https://klasma.github.io/Logging_1273/fåglar/A 16837-2023 prioriterade fågelarter.docx", "A 16837-2023")</f>
        <v/>
      </c>
    </row>
    <row r="47" ht="15" customHeight="1">
      <c r="A47" t="inlineStr">
        <is>
          <t>A 61738-2024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46221</v>
      </c>
      <c r="F47" t="inlineStr">
        <is>
          <t>SKÅNE LÄN</t>
        </is>
      </c>
      <c r="G47" t="inlineStr">
        <is>
          <t>OSBY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snok</t>
        </is>
      </c>
      <c r="V47">
        <f>HYPERLINK("https://klasma.github.io/Logging_1273/artfynd/A 61738-2024 artfynd.xlsx", "A 61738-2024")</f>
        <v/>
      </c>
      <c r="W47">
        <f>HYPERLINK("https://klasma.github.io/Logging_1273/kartor/A 61738-2024 karta.png", "A 61738-2024")</f>
        <v/>
      </c>
      <c r="Y47">
        <f>HYPERLINK("https://klasma.github.io/Logging_1273/klagomål/A 61738-2024 FSC-klagomål.docx", "A 61738-2024")</f>
        <v/>
      </c>
      <c r="Z47">
        <f>HYPERLINK("https://klasma.github.io/Logging_1273/klagomålsmail/A 61738-2024 FSC-klagomål mail.docx", "A 61738-2024")</f>
        <v/>
      </c>
      <c r="AA47">
        <f>HYPERLINK("https://klasma.github.io/Logging_1273/tillsyn/A 61738-2024 tillsynsbegäran.docx", "A 61738-2024")</f>
        <v/>
      </c>
      <c r="AB47">
        <f>HYPERLINK("https://klasma.github.io/Logging_1273/tillsynsmail/A 61738-2024 tillsynsbegäran mail.docx", "A 61738-2024")</f>
        <v/>
      </c>
    </row>
    <row r="48" ht="15" customHeight="1">
      <c r="A48" t="inlineStr">
        <is>
          <t>A 58641-2022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44902</v>
      </c>
      <c r="E48" s="1" t="n">
        <v>46221</v>
      </c>
      <c r="F48" t="inlineStr">
        <is>
          <t>SKÅNE LÄN</t>
        </is>
      </c>
      <c r="G48" t="inlineStr">
        <is>
          <t>OSBY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Ask</t>
        </is>
      </c>
      <c r="V48">
        <f>HYPERLINK("https://klasma.github.io/Logging_1273/artfynd/A 58641-2022 artfynd.xlsx", "A 58641-2022")</f>
        <v/>
      </c>
      <c r="W48">
        <f>HYPERLINK("https://klasma.github.io/Logging_1273/kartor/A 58641-2022 karta.png", "A 58641-2022")</f>
        <v/>
      </c>
      <c r="Y48">
        <f>HYPERLINK("https://klasma.github.io/Logging_1273/klagomål/A 58641-2022 FSC-klagomål.docx", "A 58641-2022")</f>
        <v/>
      </c>
      <c r="Z48">
        <f>HYPERLINK("https://klasma.github.io/Logging_1273/klagomålsmail/A 58641-2022 FSC-klagomål mail.docx", "A 58641-2022")</f>
        <v/>
      </c>
      <c r="AA48">
        <f>HYPERLINK("https://klasma.github.io/Logging_1273/tillsyn/A 58641-2022 tillsynsbegäran.docx", "A 58641-2022")</f>
        <v/>
      </c>
      <c r="AB48">
        <f>HYPERLINK("https://klasma.github.io/Logging_1273/tillsynsmail/A 58641-2022 tillsynsbegäran mail.docx", "A 58641-2022")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46221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Y49">
        <f>HYPERLINK("https://klasma.github.io/Logging_1273/klagomål/S 4468-2023 FSC-klagomål.docx", "S 4468-2023")</f>
        <v/>
      </c>
      <c r="Z49">
        <f>HYPERLINK("https://klasma.github.io/Logging_1273/klagomålsmail/S 4468-2023 FSC-klagomål mail.docx", "S 4468-2023")</f>
        <v/>
      </c>
      <c r="AA49">
        <f>HYPERLINK("https://klasma.github.io/Logging_1273/tillsyn/S 4468-2023 tillsynsbegäran.docx", "S 4468-2023")</f>
        <v/>
      </c>
      <c r="AB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46221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Y50">
        <f>HYPERLINK("https://klasma.github.io/Logging_1273/klagomål/S 3117-2023 FSC-klagomål.docx", "S 3117-2023")</f>
        <v/>
      </c>
      <c r="Z50">
        <f>HYPERLINK("https://klasma.github.io/Logging_1273/klagomålsmail/S 3117-2023 FSC-klagomål mail.docx", "S 3117-2023")</f>
        <v/>
      </c>
      <c r="AA50">
        <f>HYPERLINK("https://klasma.github.io/Logging_1273/tillsyn/S 3117-2023 tillsynsbegäran.docx", "S 3117-2023")</f>
        <v/>
      </c>
      <c r="AB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46221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Y51">
        <f>HYPERLINK("https://klasma.github.io/Logging_1273/klagomål/S 4760-2022 FSC-klagomål.docx", "S 4760-2022")</f>
        <v/>
      </c>
      <c r="Z51">
        <f>HYPERLINK("https://klasma.github.io/Logging_1273/klagomålsmail/S 4760-2022 FSC-klagomål mail.docx", "S 4760-2022")</f>
        <v/>
      </c>
      <c r="AA51">
        <f>HYPERLINK("https://klasma.github.io/Logging_1273/tillsyn/S 4760-2022 tillsynsbegäran.docx", "S 4760-2022")</f>
        <v/>
      </c>
      <c r="AB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46221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Y52">
        <f>HYPERLINK("https://klasma.github.io/Logging_1273/klagomål/S 1980-2024 FSC-klagomål.docx", "S 1980-2024")</f>
        <v/>
      </c>
      <c r="Z52">
        <f>HYPERLINK("https://klasma.github.io/Logging_1273/klagomålsmail/S 1980-2024 FSC-klagomål mail.docx", "S 1980-2024")</f>
        <v/>
      </c>
      <c r="AA52">
        <f>HYPERLINK("https://klasma.github.io/Logging_1273/tillsyn/S 1980-2024 tillsynsbegäran.docx", "S 1980-2024")</f>
        <v/>
      </c>
      <c r="AB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46221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Y53">
        <f>HYPERLINK("https://klasma.github.io/Logging_1273/klagomål/S 883-2025 FSC-klagomål.docx", "S 883-2025")</f>
        <v/>
      </c>
      <c r="Z53">
        <f>HYPERLINK("https://klasma.github.io/Logging_1273/klagomålsmail/S 883-2025 FSC-klagomål mail.docx", "S 883-2025")</f>
        <v/>
      </c>
      <c r="AA53">
        <f>HYPERLINK("https://klasma.github.io/Logging_1273/tillsyn/S 883-2025 tillsynsbegäran.docx", "S 883-2025")</f>
        <v/>
      </c>
      <c r="AB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46221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46221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46221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46221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46221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46221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46221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46221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46221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46221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46221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46221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46221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46221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46221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46221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46221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46221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46221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46221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46221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46221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46221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46221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46221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46221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46221</v>
      </c>
      <c r="F80" t="inlineStr">
        <is>
          <t>SKÅNE LÄN</t>
        </is>
      </c>
      <c r="G80" t="inlineStr">
        <is>
          <t>OSBY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46221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46221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46221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46221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46221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46221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46221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46221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46221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46221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46221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46221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46221</v>
      </c>
      <c r="F93" t="inlineStr">
        <is>
          <t>SKÅNE LÄN</t>
        </is>
      </c>
      <c r="G93" t="inlineStr">
        <is>
          <t>OSBY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46221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46221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46221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46221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46221</v>
      </c>
      <c r="F98" t="inlineStr">
        <is>
          <t>SKÅNE LÄN</t>
        </is>
      </c>
      <c r="G98" t="inlineStr">
        <is>
          <t>OSBY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46221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46221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46221</v>
      </c>
      <c r="F101" t="inlineStr">
        <is>
          <t>SKÅNE LÄN</t>
        </is>
      </c>
      <c r="G101" t="inlineStr">
        <is>
          <t>OSBY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46221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46221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46221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46221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46221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46221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46221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45108-2022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44843</v>
      </c>
      <c r="E109" s="1" t="n">
        <v>46221</v>
      </c>
      <c r="F109" t="inlineStr">
        <is>
          <t>SKÅNE LÄN</t>
        </is>
      </c>
      <c r="G109" t="inlineStr">
        <is>
          <t>OSBY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46221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46221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46221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46221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46221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46221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46221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46221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46221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46221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8794-2022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44614</v>
      </c>
      <c r="E120" s="1" t="n">
        <v>46221</v>
      </c>
      <c r="F120" t="inlineStr">
        <is>
          <t>SKÅNE LÄN</t>
        </is>
      </c>
      <c r="G120" t="inlineStr">
        <is>
          <t>OSBY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44788</v>
      </c>
      <c r="E121" s="1" t="n">
        <v>46221</v>
      </c>
      <c r="F121" t="inlineStr">
        <is>
          <t>SKÅNE LÄN</t>
        </is>
      </c>
      <c r="G121" t="inlineStr">
        <is>
          <t>OSBY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44805</v>
      </c>
      <c r="E122" s="1" t="n">
        <v>46221</v>
      </c>
      <c r="F122" t="inlineStr">
        <is>
          <t>SKÅNE LÄN</t>
        </is>
      </c>
      <c r="G122" t="inlineStr">
        <is>
          <t>OSBY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43856-2021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44434</v>
      </c>
      <c r="E123" s="1" t="n">
        <v>46221</v>
      </c>
      <c r="F123" t="inlineStr">
        <is>
          <t>SKÅNE LÄN</t>
        </is>
      </c>
      <c r="G123" t="inlineStr">
        <is>
          <t>OSBY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46221</v>
      </c>
      <c r="F124" t="inlineStr">
        <is>
          <t>SKÅNE LÄN</t>
        </is>
      </c>
      <c r="G124" t="inlineStr">
        <is>
          <t>OSBY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33487-2022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44788</v>
      </c>
      <c r="E125" s="1" t="n">
        <v>46221</v>
      </c>
      <c r="F125" t="inlineStr">
        <is>
          <t>SKÅNE LÄN</t>
        </is>
      </c>
      <c r="G125" t="inlineStr">
        <is>
          <t>OSBY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46221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23601-2022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46221</v>
      </c>
      <c r="F127" t="inlineStr">
        <is>
          <t>SKÅNE LÄN</t>
        </is>
      </c>
      <c r="G127" t="inlineStr">
        <is>
          <t>OSBY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46221</v>
      </c>
      <c r="F128" t="inlineStr">
        <is>
          <t>SKÅNE LÄN</t>
        </is>
      </c>
      <c r="G128" t="inlineStr">
        <is>
          <t>OSBY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46221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46221</v>
      </c>
      <c r="F130" t="inlineStr">
        <is>
          <t>SKÅNE LÄN</t>
        </is>
      </c>
      <c r="G130" t="inlineStr">
        <is>
          <t>OSBY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53917-2021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44469</v>
      </c>
      <c r="E131" s="1" t="n">
        <v>46221</v>
      </c>
      <c r="F131" t="inlineStr">
        <is>
          <t>SKÅNE LÄN</t>
        </is>
      </c>
      <c r="G131" t="inlineStr">
        <is>
          <t>OSBY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29435-2024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45483</v>
      </c>
      <c r="E132" s="1" t="n">
        <v>46221</v>
      </c>
      <c r="F132" t="inlineStr">
        <is>
          <t>SKÅNE LÄN</t>
        </is>
      </c>
      <c r="G132" t="inlineStr">
        <is>
          <t>OSBY</t>
        </is>
      </c>
      <c r="H132" t="inlineStr">
        <is>
          <t>Kommuner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48582-2023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46221</v>
      </c>
      <c r="F133" t="inlineStr">
        <is>
          <t>SKÅNE LÄN</t>
        </is>
      </c>
      <c r="G133" t="inlineStr">
        <is>
          <t>OSBY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13594-2024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46221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46221</v>
      </c>
      <c r="F135" t="inlineStr">
        <is>
          <t>SKÅNE LÄN</t>
        </is>
      </c>
      <c r="G135" t="inlineStr">
        <is>
          <t>OSBY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46221</v>
      </c>
      <c r="F136" t="inlineStr">
        <is>
          <t>SKÅNE LÄN</t>
        </is>
      </c>
      <c r="G136" t="inlineStr">
        <is>
          <t>OSBY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46221</v>
      </c>
      <c r="F137" t="inlineStr">
        <is>
          <t>SKÅNE LÄN</t>
        </is>
      </c>
      <c r="G137" t="inlineStr">
        <is>
          <t>OSBY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28397-2023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45100</v>
      </c>
      <c r="E138" s="1" t="n">
        <v>46221</v>
      </c>
      <c r="F138" t="inlineStr">
        <is>
          <t>SKÅNE LÄN</t>
        </is>
      </c>
      <c r="G138" t="inlineStr">
        <is>
          <t>OSBY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11146-2024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46221</v>
      </c>
      <c r="F139" t="inlineStr">
        <is>
          <t>SKÅNE LÄN</t>
        </is>
      </c>
      <c r="G139" t="inlineStr">
        <is>
          <t>OSBY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10714-2024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45369</v>
      </c>
      <c r="E140" s="1" t="n">
        <v>46221</v>
      </c>
      <c r="F140" t="inlineStr">
        <is>
          <t>SKÅNE LÄN</t>
        </is>
      </c>
      <c r="G140" t="inlineStr">
        <is>
          <t>OSBY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17649-2023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46221</v>
      </c>
      <c r="F141" t="inlineStr">
        <is>
          <t>SKÅNE LÄN</t>
        </is>
      </c>
      <c r="G141" t="inlineStr">
        <is>
          <t>OSBY</t>
        </is>
      </c>
      <c r="I141" t="n">
        <v>11.3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46221</v>
      </c>
      <c r="F142" t="inlineStr">
        <is>
          <t>SKÅNE LÄN</t>
        </is>
      </c>
      <c r="G142" t="inlineStr">
        <is>
          <t>OSBY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40584-2022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44823</v>
      </c>
      <c r="E143" s="1" t="n">
        <v>46221</v>
      </c>
      <c r="F143" t="inlineStr">
        <is>
          <t>SKÅNE LÄN</t>
        </is>
      </c>
      <c r="G143" t="inlineStr">
        <is>
          <t>OSBY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50611-2023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46221</v>
      </c>
      <c r="F144" t="inlineStr">
        <is>
          <t>SKÅNE LÄN</t>
        </is>
      </c>
      <c r="G144" t="inlineStr">
        <is>
          <t>OSBY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26989-2023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46221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45447</v>
      </c>
      <c r="E146" s="1" t="n">
        <v>46221</v>
      </c>
      <c r="F146" t="inlineStr">
        <is>
          <t>SKÅNE LÄN</t>
        </is>
      </c>
      <c r="G146" t="inlineStr">
        <is>
          <t>OSBY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56877-2021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44481</v>
      </c>
      <c r="E147" s="1" t="n">
        <v>46221</v>
      </c>
      <c r="F147" t="inlineStr">
        <is>
          <t>SKÅNE LÄN</t>
        </is>
      </c>
      <c r="G147" t="inlineStr">
        <is>
          <t>OSBY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36645-2022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46221</v>
      </c>
      <c r="F148" t="inlineStr">
        <is>
          <t>SKÅNE LÄN</t>
        </is>
      </c>
      <c r="G148" t="inlineStr">
        <is>
          <t>OSBY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74033-2021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46221</v>
      </c>
      <c r="F149" t="inlineStr">
        <is>
          <t>SKÅNE LÄN</t>
        </is>
      </c>
      <c r="G149" t="inlineStr">
        <is>
          <t>OSBY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74050-2021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46221</v>
      </c>
      <c r="F150" t="inlineStr">
        <is>
          <t>SKÅNE LÄN</t>
        </is>
      </c>
      <c r="G150" t="inlineStr">
        <is>
          <t>OSBY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62425-2023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46221</v>
      </c>
      <c r="F151" t="inlineStr">
        <is>
          <t>SKÅNE LÄN</t>
        </is>
      </c>
      <c r="G151" t="inlineStr">
        <is>
          <t>OSBY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41322-2021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44424</v>
      </c>
      <c r="E152" s="1" t="n">
        <v>46221</v>
      </c>
      <c r="F152" t="inlineStr">
        <is>
          <t>SKÅNE LÄN</t>
        </is>
      </c>
      <c r="G152" t="inlineStr">
        <is>
          <t>OSBY</t>
        </is>
      </c>
      <c r="I152" t="n">
        <v>11.6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27007-2024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45471</v>
      </c>
      <c r="E153" s="1" t="n">
        <v>46221</v>
      </c>
      <c r="F153" t="inlineStr">
        <is>
          <t>SKÅNE LÄN</t>
        </is>
      </c>
      <c r="G153" t="inlineStr">
        <is>
          <t>OSBY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66984-2021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46221</v>
      </c>
      <c r="F154" t="inlineStr">
        <is>
          <t>SKÅNE LÄN</t>
        </is>
      </c>
      <c r="G154" t="inlineStr">
        <is>
          <t>OSBY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22902-2024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46221</v>
      </c>
      <c r="F155" t="inlineStr">
        <is>
          <t>SKÅNE LÄN</t>
        </is>
      </c>
      <c r="G155" t="inlineStr">
        <is>
          <t>OSBY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15359-2023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45019</v>
      </c>
      <c r="E156" s="1" t="n">
        <v>46221</v>
      </c>
      <c r="F156" t="inlineStr">
        <is>
          <t>SKÅNE LÄN</t>
        </is>
      </c>
      <c r="G156" t="inlineStr">
        <is>
          <t>OSBY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44949</v>
      </c>
      <c r="E157" s="1" t="n">
        <v>46221</v>
      </c>
      <c r="F157" t="inlineStr">
        <is>
          <t>SKÅNE LÄN</t>
        </is>
      </c>
      <c r="G157" t="inlineStr">
        <is>
          <t>OSBY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20599-2024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46221</v>
      </c>
      <c r="F158" t="inlineStr">
        <is>
          <t>SKÅNE LÄN</t>
        </is>
      </c>
      <c r="G158" t="inlineStr">
        <is>
          <t>OSBY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57218-2022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46221</v>
      </c>
      <c r="F159" t="inlineStr">
        <is>
          <t>SKÅNE LÄN</t>
        </is>
      </c>
      <c r="G159" t="inlineStr">
        <is>
          <t>OSBY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22223-2024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46221</v>
      </c>
      <c r="F160" t="inlineStr">
        <is>
          <t>SKÅNE LÄN</t>
        </is>
      </c>
      <c r="G160" t="inlineStr">
        <is>
          <t>OSBY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62117-2022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44921</v>
      </c>
      <c r="E161" s="1" t="n">
        <v>46221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20113-2024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46221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12058-2024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46221</v>
      </c>
      <c r="F163" t="inlineStr">
        <is>
          <t>SKÅNE LÄN</t>
        </is>
      </c>
      <c r="G163" t="inlineStr">
        <is>
          <t>OSBY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38998-2024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46221</v>
      </c>
      <c r="F164" t="inlineStr">
        <is>
          <t>SKÅNE LÄN</t>
        </is>
      </c>
      <c r="G164" t="inlineStr">
        <is>
          <t>OSBY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8382-2022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44610</v>
      </c>
      <c r="E165" s="1" t="n">
        <v>46221</v>
      </c>
      <c r="F165" t="inlineStr">
        <is>
          <t>SKÅNE LÄN</t>
        </is>
      </c>
      <c r="G165" t="inlineStr">
        <is>
          <t>OSBY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38486-2023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46221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46221</v>
      </c>
      <c r="F167" t="inlineStr">
        <is>
          <t>SKÅNE LÄN</t>
        </is>
      </c>
      <c r="G167" t="inlineStr">
        <is>
          <t>OSBY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38682-2025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46221</v>
      </c>
      <c r="F168" t="inlineStr">
        <is>
          <t>SKÅNE LÄN</t>
        </is>
      </c>
      <c r="G168" t="inlineStr">
        <is>
          <t>OSBY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11773-2023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46221</v>
      </c>
      <c r="F169" t="inlineStr">
        <is>
          <t>SKÅNE LÄN</t>
        </is>
      </c>
      <c r="G169" t="inlineStr">
        <is>
          <t>OSBY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46221</v>
      </c>
      <c r="F170" t="inlineStr">
        <is>
          <t>SKÅNE LÄN</t>
        </is>
      </c>
      <c r="G170" t="inlineStr">
        <is>
          <t>OSBY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27527-2023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46221</v>
      </c>
      <c r="F171" t="inlineStr">
        <is>
          <t>SKÅNE LÄN</t>
        </is>
      </c>
      <c r="G171" t="inlineStr">
        <is>
          <t>OSBY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9803-2024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46221</v>
      </c>
      <c r="F172" t="inlineStr">
        <is>
          <t>SKÅNE LÄN</t>
        </is>
      </c>
      <c r="G172" t="inlineStr">
        <is>
          <t>OSBY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58562-2022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46221</v>
      </c>
      <c r="F173" t="inlineStr">
        <is>
          <t>SKÅNE LÄN</t>
        </is>
      </c>
      <c r="G173" t="inlineStr">
        <is>
          <t>OSBY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41977-2023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45177</v>
      </c>
      <c r="E174" s="1" t="n">
        <v>46221</v>
      </c>
      <c r="F174" t="inlineStr">
        <is>
          <t>SKÅNE LÄN</t>
        </is>
      </c>
      <c r="G174" t="inlineStr">
        <is>
          <t>OSBY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15234-2025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45744</v>
      </c>
      <c r="E175" s="1" t="n">
        <v>46221</v>
      </c>
      <c r="F175" t="inlineStr">
        <is>
          <t>SKÅNE LÄN</t>
        </is>
      </c>
      <c r="G175" t="inlineStr">
        <is>
          <t>OSBY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69093-2021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44530</v>
      </c>
      <c r="E176" s="1" t="n">
        <v>46221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31640-2024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45506</v>
      </c>
      <c r="E177" s="1" t="n">
        <v>46221</v>
      </c>
      <c r="F177" t="inlineStr">
        <is>
          <t>SKÅNE LÄN</t>
        </is>
      </c>
      <c r="G177" t="inlineStr">
        <is>
          <t>OSBY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59236-2022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46221</v>
      </c>
      <c r="F178" t="inlineStr">
        <is>
          <t>SKÅNE LÄN</t>
        </is>
      </c>
      <c r="G178" t="inlineStr">
        <is>
          <t>OSBY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54187-2022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46221</v>
      </c>
      <c r="F179" t="inlineStr">
        <is>
          <t>SKÅNE LÄN</t>
        </is>
      </c>
      <c r="G179" t="inlineStr">
        <is>
          <t>OSBY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58751-2024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45635</v>
      </c>
      <c r="E180" s="1" t="n">
        <v>46221</v>
      </c>
      <c r="F180" t="inlineStr">
        <is>
          <t>SKÅNE LÄN</t>
        </is>
      </c>
      <c r="G180" t="inlineStr">
        <is>
          <t>OSBY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46221</v>
      </c>
      <c r="F181" t="inlineStr">
        <is>
          <t>SKÅNE LÄN</t>
        </is>
      </c>
      <c r="G181" t="inlineStr">
        <is>
          <t>OSBY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38697-2025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46221</v>
      </c>
      <c r="F182" t="inlineStr">
        <is>
          <t>SKÅNE LÄN</t>
        </is>
      </c>
      <c r="G182" t="inlineStr">
        <is>
          <t>OSBY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10775-2024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45369</v>
      </c>
      <c r="E183" s="1" t="n">
        <v>46221</v>
      </c>
      <c r="F183" t="inlineStr">
        <is>
          <t>SKÅNE LÄN</t>
        </is>
      </c>
      <c r="G183" t="inlineStr">
        <is>
          <t>OSBY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46432-2023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45197</v>
      </c>
      <c r="E184" s="1" t="n">
        <v>46221</v>
      </c>
      <c r="F184" t="inlineStr">
        <is>
          <t>SKÅNE LÄN</t>
        </is>
      </c>
      <c r="G184" t="inlineStr">
        <is>
          <t>OSBY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58344-2024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46221</v>
      </c>
      <c r="F185" t="inlineStr">
        <is>
          <t>SKÅNE LÄN</t>
        </is>
      </c>
      <c r="G185" t="inlineStr">
        <is>
          <t>OSBY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10714-2025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45722</v>
      </c>
      <c r="E186" s="1" t="n">
        <v>46221</v>
      </c>
      <c r="F186" t="inlineStr">
        <is>
          <t>SKÅNE LÄN</t>
        </is>
      </c>
      <c r="G186" t="inlineStr">
        <is>
          <t>OSBY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7079-2023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44965</v>
      </c>
      <c r="E187" s="1" t="n">
        <v>46221</v>
      </c>
      <c r="F187" t="inlineStr">
        <is>
          <t>SKÅNE LÄN</t>
        </is>
      </c>
      <c r="G187" t="inlineStr">
        <is>
          <t>OSBY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56177-2021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44477</v>
      </c>
      <c r="E188" s="1" t="n">
        <v>46221</v>
      </c>
      <c r="F188" t="inlineStr">
        <is>
          <t>SKÅNE LÄN</t>
        </is>
      </c>
      <c r="G188" t="inlineStr">
        <is>
          <t>OSBY</t>
        </is>
      </c>
      <c r="H188" t="inlineStr">
        <is>
          <t>Kommuner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67613-2021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46221</v>
      </c>
      <c r="F189" t="inlineStr">
        <is>
          <t>SKÅNE LÄN</t>
        </is>
      </c>
      <c r="G189" t="inlineStr">
        <is>
          <t>OSBY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67616-2021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46221</v>
      </c>
      <c r="F190" t="inlineStr">
        <is>
          <t>SKÅNE LÄN</t>
        </is>
      </c>
      <c r="G190" t="inlineStr">
        <is>
          <t>OSBY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59252-2022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46221</v>
      </c>
      <c r="F191" t="inlineStr">
        <is>
          <t>SKÅNE LÄN</t>
        </is>
      </c>
      <c r="G191" t="inlineStr">
        <is>
          <t>OSBY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41654-2025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46221</v>
      </c>
      <c r="F192" t="inlineStr">
        <is>
          <t>SKÅNE LÄN</t>
        </is>
      </c>
      <c r="G192" t="inlineStr">
        <is>
          <t>OSBY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22638-2023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46221</v>
      </c>
      <c r="F193" t="inlineStr">
        <is>
          <t>SKÅNE LÄN</t>
        </is>
      </c>
      <c r="G193" t="inlineStr">
        <is>
          <t>OSBY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26946-2022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44740</v>
      </c>
      <c r="E194" s="1" t="n">
        <v>46221</v>
      </c>
      <c r="F194" t="inlineStr">
        <is>
          <t>SKÅNE LÄN</t>
        </is>
      </c>
      <c r="G194" t="inlineStr">
        <is>
          <t>OSBY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31638-2025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46221</v>
      </c>
      <c r="F195" t="inlineStr">
        <is>
          <t>SKÅNE LÄN</t>
        </is>
      </c>
      <c r="G195" t="inlineStr">
        <is>
          <t>OSBY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45390</v>
      </c>
      <c r="E196" s="1" t="n">
        <v>46221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13597-2024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46221</v>
      </c>
      <c r="F197" t="inlineStr">
        <is>
          <t>SKÅNE LÄN</t>
        </is>
      </c>
      <c r="G197" t="inlineStr">
        <is>
          <t>OSBY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46221</v>
      </c>
      <c r="F198" t="inlineStr">
        <is>
          <t>SKÅNE LÄN</t>
        </is>
      </c>
      <c r="G198" t="inlineStr">
        <is>
          <t>OSBY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8367-2022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46221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43338-2024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46221</v>
      </c>
      <c r="F200" t="inlineStr">
        <is>
          <t>SKÅNE LÄN</t>
        </is>
      </c>
      <c r="G200" t="inlineStr">
        <is>
          <t>OSBY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10060-2024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45364</v>
      </c>
      <c r="E201" s="1" t="n">
        <v>46221</v>
      </c>
      <c r="F201" t="inlineStr">
        <is>
          <t>SKÅNE LÄN</t>
        </is>
      </c>
      <c r="G201" t="inlineStr">
        <is>
          <t>OSBY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46221</v>
      </c>
      <c r="F202" t="inlineStr">
        <is>
          <t>SKÅNE LÄN</t>
        </is>
      </c>
      <c r="G202" t="inlineStr">
        <is>
          <t>OSBY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31947-2025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46221</v>
      </c>
      <c r="F203" t="inlineStr">
        <is>
          <t>SKÅNE LÄN</t>
        </is>
      </c>
      <c r="G203" t="inlineStr">
        <is>
          <t>OSBY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47879-2024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45588</v>
      </c>
      <c r="E204" s="1" t="n">
        <v>46221</v>
      </c>
      <c r="F204" t="inlineStr">
        <is>
          <t>SKÅNE LÄN</t>
        </is>
      </c>
      <c r="G204" t="inlineStr">
        <is>
          <t>OSBY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46221</v>
      </c>
      <c r="F205" t="inlineStr">
        <is>
          <t>SKÅNE LÄN</t>
        </is>
      </c>
      <c r="G205" t="inlineStr">
        <is>
          <t>OSBY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46221</v>
      </c>
      <c r="F206" t="inlineStr">
        <is>
          <t>SKÅNE LÄN</t>
        </is>
      </c>
      <c r="G206" t="inlineStr">
        <is>
          <t>OSBY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53773-2023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46221</v>
      </c>
      <c r="F207" t="inlineStr">
        <is>
          <t>SKÅNE LÄN</t>
        </is>
      </c>
      <c r="G207" t="inlineStr">
        <is>
          <t>OSBY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32520-2025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46221</v>
      </c>
      <c r="F208" t="inlineStr">
        <is>
          <t>SKÅNE LÄN</t>
        </is>
      </c>
      <c r="G208" t="inlineStr">
        <is>
          <t>OSBY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45518</v>
      </c>
      <c r="E209" s="1" t="n">
        <v>46221</v>
      </c>
      <c r="F209" t="inlineStr">
        <is>
          <t>SKÅNE LÄN</t>
        </is>
      </c>
      <c r="G209" t="inlineStr">
        <is>
          <t>OSBY</t>
        </is>
      </c>
      <c r="H209" t="inlineStr">
        <is>
          <t>Naturvårdsverket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43551-2025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46221</v>
      </c>
      <c r="F210" t="inlineStr">
        <is>
          <t>SKÅNE LÄN</t>
        </is>
      </c>
      <c r="G210" t="inlineStr">
        <is>
          <t>OSBY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46221</v>
      </c>
      <c r="F211" t="inlineStr">
        <is>
          <t>SKÅNE LÄN</t>
        </is>
      </c>
      <c r="G211" t="inlineStr">
        <is>
          <t>OSBY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43562-2025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46221</v>
      </c>
      <c r="F212" t="inlineStr">
        <is>
          <t>SKÅNE LÄN</t>
        </is>
      </c>
      <c r="G212" t="inlineStr">
        <is>
          <t>OSBY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46221</v>
      </c>
      <c r="F213" t="inlineStr">
        <is>
          <t>SKÅNE LÄN</t>
        </is>
      </c>
      <c r="G213" t="inlineStr">
        <is>
          <t>OSBY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34303-2024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45524</v>
      </c>
      <c r="E214" s="1" t="n">
        <v>46221</v>
      </c>
      <c r="F214" t="inlineStr">
        <is>
          <t>SKÅNE LÄN</t>
        </is>
      </c>
      <c r="G214" t="inlineStr">
        <is>
          <t>OSBY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15568-2022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44662</v>
      </c>
      <c r="E215" s="1" t="n">
        <v>46221</v>
      </c>
      <c r="F215" t="inlineStr">
        <is>
          <t>SKÅNE LÄN</t>
        </is>
      </c>
      <c r="G215" t="inlineStr">
        <is>
          <t>OSBY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17715-2023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46221</v>
      </c>
      <c r="F216" t="inlineStr">
        <is>
          <t>SKÅNE LÄN</t>
        </is>
      </c>
      <c r="G216" t="inlineStr">
        <is>
          <t>OSBY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17537-2022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44679</v>
      </c>
      <c r="E217" s="1" t="n">
        <v>46221</v>
      </c>
      <c r="F217" t="inlineStr">
        <is>
          <t>SKÅNE LÄN</t>
        </is>
      </c>
      <c r="G217" t="inlineStr">
        <is>
          <t>OSBY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43896-2025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46221</v>
      </c>
      <c r="F218" t="inlineStr">
        <is>
          <t>SKÅNE LÄN</t>
        </is>
      </c>
      <c r="G218" t="inlineStr">
        <is>
          <t>OSBY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45912</v>
      </c>
      <c r="E219" s="1" t="n">
        <v>46221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46221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25579-2024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45463</v>
      </c>
      <c r="E221" s="1" t="n">
        <v>46221</v>
      </c>
      <c r="F221" t="inlineStr">
        <is>
          <t>SKÅNE LÄN</t>
        </is>
      </c>
      <c r="G221" t="inlineStr">
        <is>
          <t>OSBY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34053-2025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46221</v>
      </c>
      <c r="F222" t="inlineStr">
        <is>
          <t>SKÅNE LÄN</t>
        </is>
      </c>
      <c r="G222" t="inlineStr">
        <is>
          <t>OSBY</t>
        </is>
      </c>
      <c r="I222" t="n">
        <v>11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34227-2025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45844</v>
      </c>
      <c r="E223" s="1" t="n">
        <v>46221</v>
      </c>
      <c r="F223" t="inlineStr">
        <is>
          <t>SKÅNE LÄN</t>
        </is>
      </c>
      <c r="G223" t="inlineStr">
        <is>
          <t>OSBY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34047-2025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46221</v>
      </c>
      <c r="F224" t="inlineStr">
        <is>
          <t>SKÅNE LÄN</t>
        </is>
      </c>
      <c r="G224" t="inlineStr">
        <is>
          <t>OSBY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45729-2025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46221</v>
      </c>
      <c r="F225" t="inlineStr">
        <is>
          <t>SKÅNE LÄN</t>
        </is>
      </c>
      <c r="G225" t="inlineStr">
        <is>
          <t>OSBY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15232-2025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46221</v>
      </c>
      <c r="F226" t="inlineStr">
        <is>
          <t>SKÅNE LÄN</t>
        </is>
      </c>
      <c r="G226" t="inlineStr">
        <is>
          <t>OSBY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47334-2025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46221</v>
      </c>
      <c r="F227" t="inlineStr">
        <is>
          <t>SKÅNE LÄN</t>
        </is>
      </c>
      <c r="G227" t="inlineStr">
        <is>
          <t>OSBY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46221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17675-2023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45035</v>
      </c>
      <c r="E229" s="1" t="n">
        <v>46221</v>
      </c>
      <c r="F229" t="inlineStr">
        <is>
          <t>SKÅNE LÄN</t>
        </is>
      </c>
      <c r="G229" t="inlineStr">
        <is>
          <t>OSBY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58747-2024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45635</v>
      </c>
      <c r="E230" s="1" t="n">
        <v>46221</v>
      </c>
      <c r="F230" t="inlineStr">
        <is>
          <t>SKÅNE LÄN</t>
        </is>
      </c>
      <c r="G230" t="inlineStr">
        <is>
          <t>OSBY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6755-2022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46221</v>
      </c>
      <c r="F231" t="inlineStr">
        <is>
          <t>SKÅNE LÄN</t>
        </is>
      </c>
      <c r="G231" t="inlineStr">
        <is>
          <t>OSBY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36267-2025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45867</v>
      </c>
      <c r="E232" s="1" t="n">
        <v>46221</v>
      </c>
      <c r="F232" t="inlineStr">
        <is>
          <t>SKÅNE LÄN</t>
        </is>
      </c>
      <c r="G232" t="inlineStr">
        <is>
          <t>OSBY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48785-2025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46221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48796-2025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46221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48789-2025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46221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48797-2025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46221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23479-2024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46221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51861-2024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45607</v>
      </c>
      <c r="E238" s="1" t="n">
        <v>46221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29433-2024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46221</v>
      </c>
      <c r="F239" t="inlineStr">
        <is>
          <t>SKÅNE LÄN</t>
        </is>
      </c>
      <c r="G239" t="inlineStr">
        <is>
          <t>OSBY</t>
        </is>
      </c>
      <c r="H239" t="inlineStr">
        <is>
          <t>Kommuner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12068-2023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44997</v>
      </c>
      <c r="E240" s="1" t="n">
        <v>46221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26043-2024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45468</v>
      </c>
      <c r="E241" s="1" t="n">
        <v>46221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59966-2024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46221</v>
      </c>
      <c r="F242" t="inlineStr">
        <is>
          <t>SKÅNE LÄN</t>
        </is>
      </c>
      <c r="G242" t="inlineStr">
        <is>
          <t>OSBY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35777-2022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44801</v>
      </c>
      <c r="E243" s="1" t="n">
        <v>46221</v>
      </c>
      <c r="F243" t="inlineStr">
        <is>
          <t>SKÅNE LÄN</t>
        </is>
      </c>
      <c r="G243" t="inlineStr">
        <is>
          <t>OSBY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60031-2024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46221</v>
      </c>
      <c r="F244" t="inlineStr">
        <is>
          <t>SKÅNE LÄN</t>
        </is>
      </c>
      <c r="G244" t="inlineStr">
        <is>
          <t>OSBY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15041-2023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46221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26158-2023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46221</v>
      </c>
      <c r="F246" t="inlineStr">
        <is>
          <t>SKÅNE LÄN</t>
        </is>
      </c>
      <c r="G246" t="inlineStr">
        <is>
          <t>OSBY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61414-2024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46221</v>
      </c>
      <c r="F247" t="inlineStr">
        <is>
          <t>SKÅNE LÄN</t>
        </is>
      </c>
      <c r="G247" t="inlineStr">
        <is>
          <t>OSBY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30213-2022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46221</v>
      </c>
      <c r="F248" t="inlineStr">
        <is>
          <t>SKÅNE LÄN</t>
        </is>
      </c>
      <c r="G248" t="inlineStr">
        <is>
          <t>OSBY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51632-2024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45605</v>
      </c>
      <c r="E249" s="1" t="n">
        <v>46221</v>
      </c>
      <c r="F249" t="inlineStr">
        <is>
          <t>SKÅNE LÄN</t>
        </is>
      </c>
      <c r="G249" t="inlineStr">
        <is>
          <t>OSBY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51633-2024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45605</v>
      </c>
      <c r="E250" s="1" t="n">
        <v>46221</v>
      </c>
      <c r="F250" t="inlineStr">
        <is>
          <t>SKÅNE LÄN</t>
        </is>
      </c>
      <c r="G250" t="inlineStr">
        <is>
          <t>OSBY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46221</v>
      </c>
      <c r="F251" t="inlineStr">
        <is>
          <t>SKÅNE LÄN</t>
        </is>
      </c>
      <c r="G251" t="inlineStr">
        <is>
          <t>OSBY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57839-2024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46221</v>
      </c>
      <c r="F252" t="inlineStr">
        <is>
          <t>SKÅNE LÄN</t>
        </is>
      </c>
      <c r="G252" t="inlineStr">
        <is>
          <t>OSBY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63077-2021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44505</v>
      </c>
      <c r="E253" s="1" t="n">
        <v>46221</v>
      </c>
      <c r="F253" t="inlineStr">
        <is>
          <t>SKÅNE LÄN</t>
        </is>
      </c>
      <c r="G253" t="inlineStr">
        <is>
          <t>OSBY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61979-2024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46221</v>
      </c>
      <c r="F254" t="inlineStr">
        <is>
          <t>SKÅNE LÄN</t>
        </is>
      </c>
      <c r="G254" t="inlineStr">
        <is>
          <t>OSBY</t>
        </is>
      </c>
      <c r="H254" t="inlineStr">
        <is>
          <t>Kyrkan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12600-2025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46221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46221</v>
      </c>
      <c r="F256" t="inlineStr">
        <is>
          <t>SKÅNE LÄN</t>
        </is>
      </c>
      <c r="G256" t="inlineStr">
        <is>
          <t>OSBY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46221</v>
      </c>
      <c r="F257" t="inlineStr">
        <is>
          <t>SKÅNE LÄN</t>
        </is>
      </c>
      <c r="G257" t="inlineStr">
        <is>
          <t>OSBY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9190-2025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46221</v>
      </c>
      <c r="F258" t="inlineStr">
        <is>
          <t>SKÅNE LÄN</t>
        </is>
      </c>
      <c r="G258" t="inlineStr">
        <is>
          <t>OSBY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9828-2026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46221</v>
      </c>
      <c r="F259" t="inlineStr">
        <is>
          <t>SKÅNE LÄN</t>
        </is>
      </c>
      <c r="G259" t="inlineStr">
        <is>
          <t>OSBY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46221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42751-2022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46221</v>
      </c>
      <c r="F261" t="inlineStr">
        <is>
          <t>SKÅNE LÄN</t>
        </is>
      </c>
      <c r="G261" t="inlineStr">
        <is>
          <t>OSBY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54297-2025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46221</v>
      </c>
      <c r="F262" t="inlineStr">
        <is>
          <t>SKÅNE LÄN</t>
        </is>
      </c>
      <c r="G262" t="inlineStr">
        <is>
          <t>OSBY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46221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10237-2026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46221</v>
      </c>
      <c r="F264" t="inlineStr">
        <is>
          <t>SKÅNE LÄN</t>
        </is>
      </c>
      <c r="G264" t="inlineStr">
        <is>
          <t>OSBY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55612-2025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46221</v>
      </c>
      <c r="F265" t="inlineStr">
        <is>
          <t>SKÅNE LÄN</t>
        </is>
      </c>
      <c r="G265" t="inlineStr">
        <is>
          <t>OSBY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13754-2025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46221</v>
      </c>
      <c r="F266" t="inlineStr">
        <is>
          <t>SKÅNE LÄN</t>
        </is>
      </c>
      <c r="G266" t="inlineStr">
        <is>
          <t>OSBY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44746</v>
      </c>
      <c r="E267" s="1" t="n">
        <v>46221</v>
      </c>
      <c r="F267" t="inlineStr">
        <is>
          <t>SKÅNE LÄN</t>
        </is>
      </c>
      <c r="G267" t="inlineStr">
        <is>
          <t>OSBY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10974-2026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46221</v>
      </c>
      <c r="F268" t="inlineStr">
        <is>
          <t>SKÅNE LÄN</t>
        </is>
      </c>
      <c r="G268" t="inlineStr">
        <is>
          <t>OSBY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55849-2025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46221</v>
      </c>
      <c r="F269" t="inlineStr">
        <is>
          <t>SKÅNE LÄN</t>
        </is>
      </c>
      <c r="G269" t="inlineStr">
        <is>
          <t>OSBY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46221</v>
      </c>
      <c r="F270" t="inlineStr">
        <is>
          <t>SKÅNE LÄN</t>
        </is>
      </c>
      <c r="G270" t="inlineStr">
        <is>
          <t>OSBY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12248-2024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45377</v>
      </c>
      <c r="E271" s="1" t="n">
        <v>46221</v>
      </c>
      <c r="F271" t="inlineStr">
        <is>
          <t>SKÅNE LÄN</t>
        </is>
      </c>
      <c r="G271" t="inlineStr">
        <is>
          <t>OSBY</t>
        </is>
      </c>
      <c r="H271" t="inlineStr">
        <is>
          <t>Kommuner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56665-2025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46221</v>
      </c>
      <c r="F272" t="inlineStr">
        <is>
          <t>SKÅNE LÄN</t>
        </is>
      </c>
      <c r="G272" t="inlineStr">
        <is>
          <t>OSBY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46221</v>
      </c>
      <c r="F273" t="inlineStr">
        <is>
          <t>SKÅNE LÄN</t>
        </is>
      </c>
      <c r="G273" t="inlineStr">
        <is>
          <t>OSBY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31195-2024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45503</v>
      </c>
      <c r="E274" s="1" t="n">
        <v>46221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59679-2023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45255</v>
      </c>
      <c r="E275" s="1" t="n">
        <v>46221</v>
      </c>
      <c r="F275" t="inlineStr">
        <is>
          <t>SKÅNE LÄN</t>
        </is>
      </c>
      <c r="G275" t="inlineStr">
        <is>
          <t>OSBY</t>
        </is>
      </c>
      <c r="I275" t="n">
        <v>15.6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11908-2025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45728</v>
      </c>
      <c r="E276" s="1" t="n">
        <v>46221</v>
      </c>
      <c r="F276" t="inlineStr">
        <is>
          <t>SKÅNE LÄN</t>
        </is>
      </c>
      <c r="G276" t="inlineStr">
        <is>
          <t>OSBY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36569-2024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46221</v>
      </c>
      <c r="F277" t="inlineStr">
        <is>
          <t>SKÅNE LÄN</t>
        </is>
      </c>
      <c r="G277" t="inlineStr">
        <is>
          <t>OSBY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8500-2025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45709</v>
      </c>
      <c r="E278" s="1" t="n">
        <v>46221</v>
      </c>
      <c r="F278" t="inlineStr">
        <is>
          <t>SKÅNE LÄN</t>
        </is>
      </c>
      <c r="G278" t="inlineStr">
        <is>
          <t>OSBY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11780-2023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46221</v>
      </c>
      <c r="F279" t="inlineStr">
        <is>
          <t>SKÅNE LÄN</t>
        </is>
      </c>
      <c r="G279" t="inlineStr">
        <is>
          <t>OSBY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46221</v>
      </c>
      <c r="F280" t="inlineStr">
        <is>
          <t>SKÅNE LÄN</t>
        </is>
      </c>
      <c r="G280" t="inlineStr">
        <is>
          <t>OSBY</t>
        </is>
      </c>
      <c r="I280" t="n">
        <v>10.2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46221</v>
      </c>
      <c r="F281" t="inlineStr">
        <is>
          <t>SKÅNE LÄN</t>
        </is>
      </c>
      <c r="G281" t="inlineStr">
        <is>
          <t>OSBY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58603-2025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46221</v>
      </c>
      <c r="F282" t="inlineStr">
        <is>
          <t>SKÅNE LÄN</t>
        </is>
      </c>
      <c r="G282" t="inlineStr">
        <is>
          <t>OSBY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61364-2023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46221</v>
      </c>
      <c r="F283" t="inlineStr">
        <is>
          <t>SKÅNE LÄN</t>
        </is>
      </c>
      <c r="G283" t="inlineStr">
        <is>
          <t>OSBY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43931-2022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44838</v>
      </c>
      <c r="E284" s="1" t="n">
        <v>46221</v>
      </c>
      <c r="F284" t="inlineStr">
        <is>
          <t>SKÅNE LÄN</t>
        </is>
      </c>
      <c r="G284" t="inlineStr">
        <is>
          <t>OSBY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45906-2023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45195</v>
      </c>
      <c r="E285" s="1" t="n">
        <v>46221</v>
      </c>
      <c r="F285" t="inlineStr">
        <is>
          <t>SKÅNE LÄN</t>
        </is>
      </c>
      <c r="G285" t="inlineStr">
        <is>
          <t>OSBY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45900-2023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45195</v>
      </c>
      <c r="E286" s="1" t="n">
        <v>46221</v>
      </c>
      <c r="F286" t="inlineStr">
        <is>
          <t>SKÅNE LÄN</t>
        </is>
      </c>
      <c r="G286" t="inlineStr">
        <is>
          <t>OSBY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43516-2021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44433</v>
      </c>
      <c r="E287" s="1" t="n">
        <v>46221</v>
      </c>
      <c r="F287" t="inlineStr">
        <is>
          <t>SKÅNE LÄN</t>
        </is>
      </c>
      <c r="G287" t="inlineStr">
        <is>
          <t>OSBY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12362-2026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46089</v>
      </c>
      <c r="E288" s="1" t="n">
        <v>46221</v>
      </c>
      <c r="F288" t="inlineStr">
        <is>
          <t>SKÅNE LÄN</t>
        </is>
      </c>
      <c r="G288" t="inlineStr">
        <is>
          <t>OSBY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46221</v>
      </c>
      <c r="F289" t="inlineStr">
        <is>
          <t>SKÅNE LÄN</t>
        </is>
      </c>
      <c r="G289" t="inlineStr">
        <is>
          <t>OSBY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12363-2026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46089</v>
      </c>
      <c r="E290" s="1" t="n">
        <v>46221</v>
      </c>
      <c r="F290" t="inlineStr">
        <is>
          <t>SKÅNE LÄN</t>
        </is>
      </c>
      <c r="G290" t="inlineStr">
        <is>
          <t>OSBY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33816-2022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44790</v>
      </c>
      <c r="E291" s="1" t="n">
        <v>46221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33741-2024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45520</v>
      </c>
      <c r="E292" s="1" t="n">
        <v>46221</v>
      </c>
      <c r="F292" t="inlineStr">
        <is>
          <t>SKÅNE LÄN</t>
        </is>
      </c>
      <c r="G292" t="inlineStr">
        <is>
          <t>OSBY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17587-2023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45036</v>
      </c>
      <c r="E293" s="1" t="n">
        <v>46221</v>
      </c>
      <c r="F293" t="inlineStr">
        <is>
          <t>SKÅNE LÄN</t>
        </is>
      </c>
      <c r="G293" t="inlineStr">
        <is>
          <t>OSBY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61520-2022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44910</v>
      </c>
      <c r="E294" s="1" t="n">
        <v>46221</v>
      </c>
      <c r="F294" t="inlineStr">
        <is>
          <t>SKÅNE LÄN</t>
        </is>
      </c>
      <c r="G294" t="inlineStr">
        <is>
          <t>OSBY</t>
        </is>
      </c>
      <c r="H294" t="inlineStr">
        <is>
          <t>Kyrkan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45255</v>
      </c>
      <c r="E295" s="1" t="n">
        <v>46221</v>
      </c>
      <c r="F295" t="inlineStr">
        <is>
          <t>SKÅNE LÄN</t>
        </is>
      </c>
      <c r="G295" t="inlineStr">
        <is>
          <t>OSBY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61024-2023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46221</v>
      </c>
      <c r="F296" t="inlineStr">
        <is>
          <t>SKÅNE LÄN</t>
        </is>
      </c>
      <c r="G296" t="inlineStr">
        <is>
          <t>OSBY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13268-2026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46221</v>
      </c>
      <c r="F297" t="inlineStr">
        <is>
          <t>SKÅNE LÄN</t>
        </is>
      </c>
      <c r="G297" t="inlineStr">
        <is>
          <t>OSBY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31721-2023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45117</v>
      </c>
      <c r="E298" s="1" t="n">
        <v>46221</v>
      </c>
      <c r="F298" t="inlineStr">
        <is>
          <t>SKÅNE LÄN</t>
        </is>
      </c>
      <c r="G298" t="inlineStr">
        <is>
          <t>OSBY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60362-2025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46221</v>
      </c>
      <c r="F299" t="inlineStr">
        <is>
          <t>SKÅNE LÄN</t>
        </is>
      </c>
      <c r="G299" t="inlineStr">
        <is>
          <t>OSBY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57990-2022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46221</v>
      </c>
      <c r="F300" t="inlineStr">
        <is>
          <t>SKÅNE LÄN</t>
        </is>
      </c>
      <c r="G300" t="inlineStr">
        <is>
          <t>OSBY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60743-2025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45996</v>
      </c>
      <c r="E301" s="1" t="n">
        <v>46221</v>
      </c>
      <c r="F301" t="inlineStr">
        <is>
          <t>SKÅNE LÄN</t>
        </is>
      </c>
      <c r="G301" t="inlineStr">
        <is>
          <t>OSBY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29024-2022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46221</v>
      </c>
      <c r="F302" t="inlineStr">
        <is>
          <t>SKÅNE LÄN</t>
        </is>
      </c>
      <c r="G302" t="inlineStr">
        <is>
          <t>OSBY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45259</v>
      </c>
      <c r="E303" s="1" t="n">
        <v>46221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58638-2022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46221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12872-2025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45733</v>
      </c>
      <c r="E305" s="1" t="n">
        <v>46221</v>
      </c>
      <c r="F305" t="inlineStr">
        <is>
          <t>SKÅNE LÄN</t>
        </is>
      </c>
      <c r="G305" t="inlineStr">
        <is>
          <t>OSBY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61797-2025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46221</v>
      </c>
      <c r="F306" t="inlineStr">
        <is>
          <t>SKÅNE LÄN</t>
        </is>
      </c>
      <c r="G306" t="inlineStr">
        <is>
          <t>OSBY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57222-2022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46221</v>
      </c>
      <c r="F307" t="inlineStr">
        <is>
          <t>SKÅNE LÄN</t>
        </is>
      </c>
      <c r="G307" t="inlineStr">
        <is>
          <t>OSBY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46221</v>
      </c>
      <c r="F308" t="inlineStr">
        <is>
          <t>SKÅNE LÄN</t>
        </is>
      </c>
      <c r="G308" t="inlineStr">
        <is>
          <t>OSBY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14564-2026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46221</v>
      </c>
      <c r="F309" t="inlineStr">
        <is>
          <t>SKÅNE LÄN</t>
        </is>
      </c>
      <c r="G309" t="inlineStr">
        <is>
          <t>OSBY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41547-2022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46221</v>
      </c>
      <c r="F310" t="inlineStr">
        <is>
          <t>SKÅNE LÄN</t>
        </is>
      </c>
      <c r="G310" t="inlineStr">
        <is>
          <t>OSBY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9651-2024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45360</v>
      </c>
      <c r="E311" s="1" t="n">
        <v>46221</v>
      </c>
      <c r="F311" t="inlineStr">
        <is>
          <t>SKÅNE LÄN</t>
        </is>
      </c>
      <c r="G311" t="inlineStr">
        <is>
          <t>OSBY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62571-2025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46221</v>
      </c>
      <c r="F312" t="inlineStr">
        <is>
          <t>SKÅNE LÄN</t>
        </is>
      </c>
      <c r="G312" t="inlineStr">
        <is>
          <t>OSBY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11048-2025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45723</v>
      </c>
      <c r="E313" s="1" t="n">
        <v>46221</v>
      </c>
      <c r="F313" t="inlineStr">
        <is>
          <t>SKÅNE LÄN</t>
        </is>
      </c>
      <c r="G313" t="inlineStr">
        <is>
          <t>OSBY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49622-2023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46221</v>
      </c>
      <c r="F314" t="inlineStr">
        <is>
          <t>SKÅNE LÄN</t>
        </is>
      </c>
      <c r="G314" t="inlineStr">
        <is>
          <t>OSBY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52857-2022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44872</v>
      </c>
      <c r="E315" s="1" t="n">
        <v>46221</v>
      </c>
      <c r="F315" t="inlineStr">
        <is>
          <t>SKÅNE LÄN</t>
        </is>
      </c>
      <c r="G315" t="inlineStr">
        <is>
          <t>OSBY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63892-2025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46020</v>
      </c>
      <c r="E316" s="1" t="n">
        <v>46221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63893-2025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46221</v>
      </c>
      <c r="F317" t="inlineStr">
        <is>
          <t>SKÅNE LÄN</t>
        </is>
      </c>
      <c r="G317" t="inlineStr">
        <is>
          <t>OSBY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62116-2022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44921</v>
      </c>
      <c r="E318" s="1" t="n">
        <v>46221</v>
      </c>
      <c r="F318" t="inlineStr">
        <is>
          <t>SKÅNE LÄN</t>
        </is>
      </c>
      <c r="G318" t="inlineStr">
        <is>
          <t>OSBY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31991-2023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46221</v>
      </c>
      <c r="F319" t="inlineStr">
        <is>
          <t>SKÅNE LÄN</t>
        </is>
      </c>
      <c r="G319" t="inlineStr">
        <is>
          <t>OSBY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42614-2025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46221</v>
      </c>
      <c r="F320" t="inlineStr">
        <is>
          <t>SKÅNE LÄN</t>
        </is>
      </c>
      <c r="G320" t="inlineStr">
        <is>
          <t>OSBY</t>
        </is>
      </c>
      <c r="H320" t="inlineStr">
        <is>
          <t>Kyrkan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55389-2023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45238</v>
      </c>
      <c r="E321" s="1" t="n">
        <v>46221</v>
      </c>
      <c r="F321" t="inlineStr">
        <is>
          <t>SKÅNE LÄN</t>
        </is>
      </c>
      <c r="G321" t="inlineStr">
        <is>
          <t>OSBY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56166-2023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46221</v>
      </c>
      <c r="F322" t="inlineStr">
        <is>
          <t>SKÅNE LÄN</t>
        </is>
      </c>
      <c r="G322" t="inlineStr">
        <is>
          <t>OSBY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46221</v>
      </c>
      <c r="F323" t="inlineStr">
        <is>
          <t>SKÅNE LÄN</t>
        </is>
      </c>
      <c r="G323" t="inlineStr">
        <is>
          <t>OSBY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46221</v>
      </c>
      <c r="F324" t="inlineStr">
        <is>
          <t>SKÅNE LÄN</t>
        </is>
      </c>
      <c r="G324" t="inlineStr">
        <is>
          <t>OSBY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15143-2023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46221</v>
      </c>
      <c r="F325" t="inlineStr">
        <is>
          <t>SKÅNE LÄN</t>
        </is>
      </c>
      <c r="G325" t="inlineStr">
        <is>
          <t>OSBY</t>
        </is>
      </c>
      <c r="H325" t="inlineStr">
        <is>
          <t>Naturvårdsverket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46221</v>
      </c>
      <c r="F326" t="inlineStr">
        <is>
          <t>SKÅNE LÄN</t>
        </is>
      </c>
      <c r="G326" t="inlineStr">
        <is>
          <t>OSBY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15837-2026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46221</v>
      </c>
      <c r="F327" t="inlineStr">
        <is>
          <t>SKÅNE LÄN</t>
        </is>
      </c>
      <c r="G327" t="inlineStr">
        <is>
          <t>OSBY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34972-2023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46221</v>
      </c>
      <c r="F328" t="inlineStr">
        <is>
          <t>SKÅNE LÄN</t>
        </is>
      </c>
      <c r="G328" t="inlineStr">
        <is>
          <t>OSBY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46221</v>
      </c>
      <c r="F329" t="inlineStr">
        <is>
          <t>SKÅNE LÄN</t>
        </is>
      </c>
      <c r="G329" t="inlineStr">
        <is>
          <t>OSBY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30275-2023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45110</v>
      </c>
      <c r="E330" s="1" t="n">
        <v>46221</v>
      </c>
      <c r="F330" t="inlineStr">
        <is>
          <t>SKÅNE LÄN</t>
        </is>
      </c>
      <c r="G330" t="inlineStr">
        <is>
          <t>OSBY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46221</v>
      </c>
      <c r="F331" t="inlineStr">
        <is>
          <t>SKÅNE LÄN</t>
        </is>
      </c>
      <c r="G331" t="inlineStr">
        <is>
          <t>OSBY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13138-2023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45002</v>
      </c>
      <c r="E332" s="1" t="n">
        <v>46221</v>
      </c>
      <c r="F332" t="inlineStr">
        <is>
          <t>SKÅNE LÄN</t>
        </is>
      </c>
      <c r="G332" t="inlineStr">
        <is>
          <t>OSBY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15733-2024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46221</v>
      </c>
      <c r="F333" t="inlineStr">
        <is>
          <t>SKÅNE LÄN</t>
        </is>
      </c>
      <c r="G333" t="inlineStr">
        <is>
          <t>OSBY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48126-2024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46221</v>
      </c>
      <c r="F334" t="inlineStr">
        <is>
          <t>SKÅNE LÄN</t>
        </is>
      </c>
      <c r="G334" t="inlineStr">
        <is>
          <t>OSBY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23813-2023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45078</v>
      </c>
      <c r="E335" s="1" t="n">
        <v>46221</v>
      </c>
      <c r="F335" t="inlineStr">
        <is>
          <t>SKÅNE LÄN</t>
        </is>
      </c>
      <c r="G335" t="inlineStr">
        <is>
          <t>OSBY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23816-2023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45078</v>
      </c>
      <c r="E336" s="1" t="n">
        <v>46221</v>
      </c>
      <c r="F336" t="inlineStr">
        <is>
          <t>SKÅNE LÄN</t>
        </is>
      </c>
      <c r="G336" t="inlineStr">
        <is>
          <t>OSBY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74016-2021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44557</v>
      </c>
      <c r="E337" s="1" t="n">
        <v>46221</v>
      </c>
      <c r="F337" t="inlineStr">
        <is>
          <t>SKÅNE LÄN</t>
        </is>
      </c>
      <c r="G337" t="inlineStr">
        <is>
          <t>OSBY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64469-2021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44511</v>
      </c>
      <c r="E338" s="1" t="n">
        <v>46221</v>
      </c>
      <c r="F338" t="inlineStr">
        <is>
          <t>SKÅNE LÄN</t>
        </is>
      </c>
      <c r="G338" t="inlineStr">
        <is>
          <t>OSBY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68592-2021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44529</v>
      </c>
      <c r="E339" s="1" t="n">
        <v>46221</v>
      </c>
      <c r="F339" t="inlineStr">
        <is>
          <t>SKÅNE LÄN</t>
        </is>
      </c>
      <c r="G339" t="inlineStr">
        <is>
          <t>OSBY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27281-2023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46221</v>
      </c>
      <c r="F340" t="inlineStr">
        <is>
          <t>SKÅNE LÄN</t>
        </is>
      </c>
      <c r="G340" t="inlineStr">
        <is>
          <t>OSBY</t>
        </is>
      </c>
      <c r="H340" t="inlineStr">
        <is>
          <t>Sveaskog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57856-2024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46221</v>
      </c>
      <c r="F341" t="inlineStr">
        <is>
          <t>SKÅNE LÄN</t>
        </is>
      </c>
      <c r="G341" t="inlineStr">
        <is>
          <t>OSBY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21656-2023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45063</v>
      </c>
      <c r="E342" s="1" t="n">
        <v>46221</v>
      </c>
      <c r="F342" t="inlineStr">
        <is>
          <t>SKÅNE LÄN</t>
        </is>
      </c>
      <c r="G342" t="inlineStr">
        <is>
          <t>OSBY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6698-2023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46221</v>
      </c>
      <c r="F343" t="inlineStr">
        <is>
          <t>SKÅNE LÄN</t>
        </is>
      </c>
      <c r="G343" t="inlineStr">
        <is>
          <t>OSBY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50880-2022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46221</v>
      </c>
      <c r="F344" t="inlineStr">
        <is>
          <t>SKÅNE LÄN</t>
        </is>
      </c>
      <c r="G344" t="inlineStr">
        <is>
          <t>OSBY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47880-2024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46221</v>
      </c>
      <c r="F345" t="inlineStr">
        <is>
          <t>SKÅNE LÄN</t>
        </is>
      </c>
      <c r="G345" t="inlineStr">
        <is>
          <t>OSBY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46221</v>
      </c>
      <c r="F346" t="inlineStr">
        <is>
          <t>SKÅNE LÄN</t>
        </is>
      </c>
      <c r="G346" t="inlineStr">
        <is>
          <t>OSBY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34966-2023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45141</v>
      </c>
      <c r="E347" s="1" t="n">
        <v>46221</v>
      </c>
      <c r="F347" t="inlineStr">
        <is>
          <t>SKÅNE LÄN</t>
        </is>
      </c>
      <c r="G347" t="inlineStr">
        <is>
          <t>OSBY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41529-2023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46221</v>
      </c>
      <c r="F348" t="inlineStr">
        <is>
          <t>SKÅNE LÄN</t>
        </is>
      </c>
      <c r="G348" t="inlineStr">
        <is>
          <t>OSBY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62114-2024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45656</v>
      </c>
      <c r="E349" s="1" t="n">
        <v>46221</v>
      </c>
      <c r="F349" t="inlineStr">
        <is>
          <t>SKÅNE LÄN</t>
        </is>
      </c>
      <c r="G349" t="inlineStr">
        <is>
          <t>OSBY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46221</v>
      </c>
      <c r="F350" t="inlineStr">
        <is>
          <t>SKÅNE LÄN</t>
        </is>
      </c>
      <c r="G350" t="inlineStr">
        <is>
          <t>OSBY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60404-2024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45643</v>
      </c>
      <c r="E351" s="1" t="n">
        <v>46221</v>
      </c>
      <c r="F351" t="inlineStr">
        <is>
          <t>SKÅNE LÄN</t>
        </is>
      </c>
      <c r="G351" t="inlineStr">
        <is>
          <t>OSBY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31624-2023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45117</v>
      </c>
      <c r="E352" s="1" t="n">
        <v>46221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14307-2023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45011</v>
      </c>
      <c r="E353" s="1" t="n">
        <v>46221</v>
      </c>
      <c r="F353" t="inlineStr">
        <is>
          <t>SKÅNE LÄN</t>
        </is>
      </c>
      <c r="G353" t="inlineStr">
        <is>
          <t>OSBY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45471</v>
      </c>
      <c r="E354" s="1" t="n">
        <v>46221</v>
      </c>
      <c r="F354" t="inlineStr">
        <is>
          <t>SKÅNE LÄN</t>
        </is>
      </c>
      <c r="G354" t="inlineStr">
        <is>
          <t>OSBY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3454-2022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44585</v>
      </c>
      <c r="E355" s="1" t="n">
        <v>46221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19344-2026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46221</v>
      </c>
      <c r="F356" t="inlineStr">
        <is>
          <t>SKÅNE LÄN</t>
        </is>
      </c>
      <c r="G356" t="inlineStr">
        <is>
          <t>OSBY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19343-2026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46221</v>
      </c>
      <c r="F357" t="inlineStr">
        <is>
          <t>SKÅNE LÄN</t>
        </is>
      </c>
      <c r="G357" t="inlineStr">
        <is>
          <t>OSBY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19336-2026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46221</v>
      </c>
      <c r="F358" t="inlineStr">
        <is>
          <t>SKÅNE LÄN</t>
        </is>
      </c>
      <c r="G358" t="inlineStr">
        <is>
          <t>OSBY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36232-2024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46221</v>
      </c>
      <c r="F359" t="inlineStr">
        <is>
          <t>SKÅNE LÄN</t>
        </is>
      </c>
      <c r="G359" t="inlineStr">
        <is>
          <t>OSBY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36229-2024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46221</v>
      </c>
      <c r="F360" t="inlineStr">
        <is>
          <t>SKÅNE LÄN</t>
        </is>
      </c>
      <c r="G360" t="inlineStr">
        <is>
          <t>OSBY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50728-2023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46221</v>
      </c>
      <c r="F361" t="inlineStr">
        <is>
          <t>SKÅNE LÄN</t>
        </is>
      </c>
      <c r="G361" t="inlineStr">
        <is>
          <t>OSBY</t>
        </is>
      </c>
      <c r="H361" t="inlineStr">
        <is>
          <t>Kommuner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17673-2023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46221</v>
      </c>
      <c r="F362" t="inlineStr">
        <is>
          <t>SKÅNE LÄN</t>
        </is>
      </c>
      <c r="G362" t="inlineStr">
        <is>
          <t>OSBY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46221</v>
      </c>
      <c r="F363" t="inlineStr">
        <is>
          <t>SKÅNE LÄN</t>
        </is>
      </c>
      <c r="G363" t="inlineStr">
        <is>
          <t>OSBY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42751-2022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44832</v>
      </c>
      <c r="E364" s="1" t="n">
        <v>46221</v>
      </c>
      <c r="F364" t="inlineStr">
        <is>
          <t>SKÅNE LÄN</t>
        </is>
      </c>
      <c r="G364" t="inlineStr">
        <is>
          <t>OSBY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22064-2025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45785</v>
      </c>
      <c r="E365" s="1" t="n">
        <v>46221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59245-2025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46221</v>
      </c>
      <c r="F366" t="inlineStr">
        <is>
          <t>SKÅNE LÄN</t>
        </is>
      </c>
      <c r="G366" t="inlineStr">
        <is>
          <t>OSBY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1068-2025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45666</v>
      </c>
      <c r="E367" s="1" t="n">
        <v>46221</v>
      </c>
      <c r="F367" t="inlineStr">
        <is>
          <t>SKÅNE LÄN</t>
        </is>
      </c>
      <c r="G367" t="inlineStr">
        <is>
          <t>OSBY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13109-2022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44644</v>
      </c>
      <c r="E368" s="1" t="n">
        <v>46221</v>
      </c>
      <c r="F368" t="inlineStr">
        <is>
          <t>SKÅNE LÄN</t>
        </is>
      </c>
      <c r="G368" t="inlineStr">
        <is>
          <t>OSBY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18333-2025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45762</v>
      </c>
      <c r="E369" s="1" t="n">
        <v>46221</v>
      </c>
      <c r="F369" t="inlineStr">
        <is>
          <t>SKÅNE LÄN</t>
        </is>
      </c>
      <c r="G369" t="inlineStr">
        <is>
          <t>OSBY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9840-2022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44620</v>
      </c>
      <c r="E370" s="1" t="n">
        <v>46221</v>
      </c>
      <c r="F370" t="inlineStr">
        <is>
          <t>SKÅNE LÄN</t>
        </is>
      </c>
      <c r="G370" t="inlineStr">
        <is>
          <t>OSBY</t>
        </is>
      </c>
      <c r="H370" t="inlineStr">
        <is>
          <t>Kommuner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9840-2022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44620</v>
      </c>
      <c r="E371" s="1" t="n">
        <v>46221</v>
      </c>
      <c r="F371" t="inlineStr">
        <is>
          <t>SKÅNE LÄN</t>
        </is>
      </c>
      <c r="G371" t="inlineStr">
        <is>
          <t>OSBY</t>
        </is>
      </c>
      <c r="H371" t="inlineStr">
        <is>
          <t>Kommuner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7881-2025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46221</v>
      </c>
      <c r="F372" t="inlineStr">
        <is>
          <t>SKÅNE LÄN</t>
        </is>
      </c>
      <c r="G372" t="inlineStr">
        <is>
          <t>OSBY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15181-2022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44658</v>
      </c>
      <c r="E373" s="1" t="n">
        <v>46221</v>
      </c>
      <c r="F373" t="inlineStr">
        <is>
          <t>SKÅNE LÄN</t>
        </is>
      </c>
      <c r="G373" t="inlineStr">
        <is>
          <t>OSBY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9840-2022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44620</v>
      </c>
      <c r="E374" s="1" t="n">
        <v>46221</v>
      </c>
      <c r="F374" t="inlineStr">
        <is>
          <t>SKÅNE LÄN</t>
        </is>
      </c>
      <c r="G374" t="inlineStr">
        <is>
          <t>OSBY</t>
        </is>
      </c>
      <c r="H374" t="inlineStr">
        <is>
          <t>Kommuner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46246-2023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45196</v>
      </c>
      <c r="E375" s="1" t="n">
        <v>46221</v>
      </c>
      <c r="F375" t="inlineStr">
        <is>
          <t>SKÅNE LÄN</t>
        </is>
      </c>
      <c r="G375" t="inlineStr">
        <is>
          <t>OSBY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20586-2026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46221</v>
      </c>
      <c r="F376" t="inlineStr">
        <is>
          <t>SKÅNE LÄN</t>
        </is>
      </c>
      <c r="G376" t="inlineStr">
        <is>
          <t>OSBY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3452-2022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44585</v>
      </c>
      <c r="E377" s="1" t="n">
        <v>46221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36979-2024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46221</v>
      </c>
      <c r="F378" t="inlineStr">
        <is>
          <t>SKÅNE LÄN</t>
        </is>
      </c>
      <c r="G378" t="inlineStr">
        <is>
          <t>OSBY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25934-2026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46180</v>
      </c>
      <c r="E379" s="1" t="n">
        <v>46221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31970-2023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46221</v>
      </c>
      <c r="F380" t="inlineStr">
        <is>
          <t>SKÅNE LÄN</t>
        </is>
      </c>
      <c r="G380" t="inlineStr">
        <is>
          <t>OSBY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23299-2024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45453</v>
      </c>
      <c r="E381" s="1" t="n">
        <v>46221</v>
      </c>
      <c r="F381" t="inlineStr">
        <is>
          <t>SKÅNE LÄN</t>
        </is>
      </c>
      <c r="G381" t="inlineStr">
        <is>
          <t>OSBY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25935-2026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46221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36952-2023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46221</v>
      </c>
      <c r="F383" t="inlineStr">
        <is>
          <t>SKÅNE LÄN</t>
        </is>
      </c>
      <c r="G383" t="inlineStr">
        <is>
          <t>OSBY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46221</v>
      </c>
      <c r="F384" t="inlineStr">
        <is>
          <t>SKÅNE LÄN</t>
        </is>
      </c>
      <c r="G384" t="inlineStr">
        <is>
          <t>OSBY</t>
        </is>
      </c>
      <c r="I384" t="n">
        <v>19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52409-2024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45609</v>
      </c>
      <c r="E385" s="1" t="n">
        <v>46221</v>
      </c>
      <c r="F385" t="inlineStr">
        <is>
          <t>SKÅNE LÄN</t>
        </is>
      </c>
      <c r="G385" t="inlineStr">
        <is>
          <t>OSBY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52196-2021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44463</v>
      </c>
      <c r="E386" s="1" t="n">
        <v>46221</v>
      </c>
      <c r="F386" t="inlineStr">
        <is>
          <t>SKÅNE LÄN</t>
        </is>
      </c>
      <c r="G386" t="inlineStr">
        <is>
          <t>OSBY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25936-2026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46180</v>
      </c>
      <c r="E387" s="1" t="n">
        <v>46221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45191-2024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45575</v>
      </c>
      <c r="E388" s="1" t="n">
        <v>46221</v>
      </c>
      <c r="F388" t="inlineStr">
        <is>
          <t>SKÅNE LÄN</t>
        </is>
      </c>
      <c r="G388" t="inlineStr">
        <is>
          <t>OSBY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35875-2023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46221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15797-2022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44663</v>
      </c>
      <c r="E390" s="1" t="n">
        <v>46221</v>
      </c>
      <c r="F390" t="inlineStr">
        <is>
          <t>SKÅNE LÄN</t>
        </is>
      </c>
      <c r="G390" t="inlineStr">
        <is>
          <t>OSBY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46221</v>
      </c>
      <c r="F391" t="inlineStr">
        <is>
          <t>SKÅNE LÄN</t>
        </is>
      </c>
      <c r="G391" t="inlineStr">
        <is>
          <t>OSBY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34581-2023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46221</v>
      </c>
      <c r="F392" t="inlineStr">
        <is>
          <t>SKÅNE LÄN</t>
        </is>
      </c>
      <c r="G392" t="inlineStr">
        <is>
          <t>OSBY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48774-2025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46221</v>
      </c>
      <c r="F393" t="inlineStr">
        <is>
          <t>SKÅNE LÄN</t>
        </is>
      </c>
      <c r="G393" t="inlineStr">
        <is>
          <t>OSBY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9430-2025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45715</v>
      </c>
      <c r="E394" s="1" t="n">
        <v>46221</v>
      </c>
      <c r="F394" t="inlineStr">
        <is>
          <t>SKÅNE LÄN</t>
        </is>
      </c>
      <c r="G394" t="inlineStr">
        <is>
          <t>OSBY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46221</v>
      </c>
      <c r="F395" t="inlineStr">
        <is>
          <t>SKÅNE LÄN</t>
        </is>
      </c>
      <c r="G395" t="inlineStr">
        <is>
          <t>OSBY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48840-2023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46221</v>
      </c>
      <c r="F396" t="inlineStr">
        <is>
          <t>SKÅNE LÄN</t>
        </is>
      </c>
      <c r="G396" t="inlineStr">
        <is>
          <t>OSBY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46221</v>
      </c>
      <c r="F397" t="inlineStr">
        <is>
          <t>SKÅNE LÄN</t>
        </is>
      </c>
      <c r="G397" t="inlineStr">
        <is>
          <t>OSBY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31758-2022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44776</v>
      </c>
      <c r="E398" s="1" t="n">
        <v>46221</v>
      </c>
      <c r="F398" t="inlineStr">
        <is>
          <t>SKÅNE LÄN</t>
        </is>
      </c>
      <c r="G398" t="inlineStr">
        <is>
          <t>OSBY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45420-2023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46221</v>
      </c>
      <c r="F399" t="inlineStr">
        <is>
          <t>SKÅNE LÄN</t>
        </is>
      </c>
      <c r="G399" t="inlineStr">
        <is>
          <t>OSBY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26452-2026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46221</v>
      </c>
      <c r="F400" t="inlineStr">
        <is>
          <t>SKÅNE LÄN</t>
        </is>
      </c>
      <c r="G400" t="inlineStr">
        <is>
          <t>OSBY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18294-2024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45422</v>
      </c>
      <c r="E401" s="1" t="n">
        <v>46221</v>
      </c>
      <c r="F401" t="inlineStr">
        <is>
          <t>SKÅNE LÄN</t>
        </is>
      </c>
      <c r="G401" t="inlineStr">
        <is>
          <t>OSBY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57782-2024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45631</v>
      </c>
      <c r="E402" s="1" t="n">
        <v>46221</v>
      </c>
      <c r="F402" t="inlineStr">
        <is>
          <t>SKÅNE LÄN</t>
        </is>
      </c>
      <c r="G402" t="inlineStr">
        <is>
          <t>OSBY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30211-2023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45110</v>
      </c>
      <c r="E403" s="1" t="n">
        <v>46221</v>
      </c>
      <c r="F403" t="inlineStr">
        <is>
          <t>SKÅNE LÄN</t>
        </is>
      </c>
      <c r="G403" t="inlineStr">
        <is>
          <t>OSBY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26591-2026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46221</v>
      </c>
      <c r="F404" t="inlineStr">
        <is>
          <t>SKÅNE LÄN</t>
        </is>
      </c>
      <c r="G404" t="inlineStr">
        <is>
          <t>OSBY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26631-2026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46184</v>
      </c>
      <c r="E405" s="1" t="n">
        <v>46221</v>
      </c>
      <c r="F405" t="inlineStr">
        <is>
          <t>SKÅNE LÄN</t>
        </is>
      </c>
      <c r="G405" t="inlineStr">
        <is>
          <t>OSBY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46425-2023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46221</v>
      </c>
      <c r="F406" t="inlineStr">
        <is>
          <t>SKÅNE LÄN</t>
        </is>
      </c>
      <c r="G406" t="inlineStr">
        <is>
          <t>OSBY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46431-2023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45197</v>
      </c>
      <c r="E407" s="1" t="n">
        <v>46221</v>
      </c>
      <c r="F407" t="inlineStr">
        <is>
          <t>SKÅNE LÄN</t>
        </is>
      </c>
      <c r="G407" t="inlineStr">
        <is>
          <t>OSBY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45301</v>
      </c>
      <c r="E408" s="1" t="n">
        <v>46221</v>
      </c>
      <c r="F408" t="inlineStr">
        <is>
          <t>SKÅNE LÄN</t>
        </is>
      </c>
      <c r="G408" t="inlineStr">
        <is>
          <t>OSBY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53774-2023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46221</v>
      </c>
      <c r="F409" t="inlineStr">
        <is>
          <t>SKÅNE LÄN</t>
        </is>
      </c>
      <c r="G409" t="inlineStr">
        <is>
          <t>OSBY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33822-2022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44790</v>
      </c>
      <c r="E410" s="1" t="n">
        <v>46221</v>
      </c>
      <c r="F410" t="inlineStr">
        <is>
          <t>SKÅNE LÄN</t>
        </is>
      </c>
      <c r="G410" t="inlineStr">
        <is>
          <t>OSBY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46221</v>
      </c>
      <c r="F411" t="inlineStr">
        <is>
          <t>SKÅNE LÄN</t>
        </is>
      </c>
      <c r="G411" t="inlineStr">
        <is>
          <t>OSBY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35986-2022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46221</v>
      </c>
      <c r="F412" t="inlineStr">
        <is>
          <t>SKÅNE LÄN</t>
        </is>
      </c>
      <c r="G412" t="inlineStr">
        <is>
          <t>OSBY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61602-2023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45265</v>
      </c>
      <c r="E413" s="1" t="n">
        <v>46221</v>
      </c>
      <c r="F413" t="inlineStr">
        <is>
          <t>SKÅNE LÄN</t>
        </is>
      </c>
      <c r="G413" t="inlineStr">
        <is>
          <t>OSBY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27374-2026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46221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46221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27488-2026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46221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27489-2026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46221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27493-2026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46221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27483-2026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46221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27486-2026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46221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27503-2026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46221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45237</v>
      </c>
      <c r="E422" s="1" t="n">
        <v>46221</v>
      </c>
      <c r="F422" t="inlineStr">
        <is>
          <t>SKÅNE LÄN</t>
        </is>
      </c>
      <c r="G422" t="inlineStr">
        <is>
          <t>OSBY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27476-2026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46221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27480-2026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46221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27479-2026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46221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27481-2026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46221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27491-2026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46221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53894-2025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45961</v>
      </c>
      <c r="E428" s="1" t="n">
        <v>46221</v>
      </c>
      <c r="F428" t="inlineStr">
        <is>
          <t>SKÅNE LÄN</t>
        </is>
      </c>
      <c r="G428" t="inlineStr">
        <is>
          <t>OSBY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27495-2026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46221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50380-2023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45216</v>
      </c>
      <c r="E430" s="1" t="n">
        <v>46221</v>
      </c>
      <c r="F430" t="inlineStr">
        <is>
          <t>SKÅNE LÄN</t>
        </is>
      </c>
      <c r="G430" t="inlineStr">
        <is>
          <t>OSBY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21763-2026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46150</v>
      </c>
      <c r="E431" s="1" t="n">
        <v>46221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40388-2024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45555</v>
      </c>
      <c r="E432" s="1" t="n">
        <v>46221</v>
      </c>
      <c r="F432" t="inlineStr">
        <is>
          <t>SKÅNE LÄN</t>
        </is>
      </c>
      <c r="G432" t="inlineStr">
        <is>
          <t>OSBY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52089-2022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46221</v>
      </c>
      <c r="F433" t="inlineStr">
        <is>
          <t>SKÅNE LÄN</t>
        </is>
      </c>
      <c r="G433" t="inlineStr">
        <is>
          <t>OSBY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12680-2025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45733</v>
      </c>
      <c r="E434" s="1" t="n">
        <v>46221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21991-2026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46221</v>
      </c>
      <c r="F435" t="inlineStr">
        <is>
          <t>SKÅNE LÄN</t>
        </is>
      </c>
      <c r="G435" t="inlineStr">
        <is>
          <t>OSBY</t>
        </is>
      </c>
      <c r="H435" t="inlineStr">
        <is>
          <t>Kyrkan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46221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6968-2022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44603</v>
      </c>
      <c r="E437" s="1" t="n">
        <v>46221</v>
      </c>
      <c r="F437" t="inlineStr">
        <is>
          <t>SKÅNE LÄN</t>
        </is>
      </c>
      <c r="G437" t="inlineStr">
        <is>
          <t>OSBY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46221</v>
      </c>
      <c r="F438" t="inlineStr">
        <is>
          <t>SKÅNE LÄN</t>
        </is>
      </c>
      <c r="G438" t="inlineStr">
        <is>
          <t>OSBY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50366-2021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44455</v>
      </c>
      <c r="E439" s="1" t="n">
        <v>46221</v>
      </c>
      <c r="F439" t="inlineStr">
        <is>
          <t>SKÅNE LÄN</t>
        </is>
      </c>
      <c r="G439" t="inlineStr">
        <is>
          <t>OSBY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53003-2024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45610</v>
      </c>
      <c r="E440" s="1" t="n">
        <v>46221</v>
      </c>
      <c r="F440" t="inlineStr">
        <is>
          <t>SKÅNE LÄN</t>
        </is>
      </c>
      <c r="G440" t="inlineStr">
        <is>
          <t>OSBY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9670-2023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44978</v>
      </c>
      <c r="E441" s="1" t="n">
        <v>46221</v>
      </c>
      <c r="F441" t="inlineStr">
        <is>
          <t>SKÅNE LÄN</t>
        </is>
      </c>
      <c r="G441" t="inlineStr">
        <is>
          <t>OSBY</t>
        </is>
      </c>
      <c r="H441" t="inlineStr">
        <is>
          <t>Naturvårdsverket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22231-2026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46221</v>
      </c>
      <c r="F442" t="inlineStr">
        <is>
          <t>SKÅNE LÄN</t>
        </is>
      </c>
      <c r="G442" t="inlineStr">
        <is>
          <t>OSBY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21992-2026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46221</v>
      </c>
      <c r="F443" t="inlineStr">
        <is>
          <t>SKÅNE LÄN</t>
        </is>
      </c>
      <c r="G443" t="inlineStr">
        <is>
          <t>OSBY</t>
        </is>
      </c>
      <c r="H443" t="inlineStr">
        <is>
          <t>Kyrkan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61882-2024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45652</v>
      </c>
      <c r="E444" s="1" t="n">
        <v>46221</v>
      </c>
      <c r="F444" t="inlineStr">
        <is>
          <t>SKÅNE LÄN</t>
        </is>
      </c>
      <c r="G444" t="inlineStr">
        <is>
          <t>OSBY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60600-2022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44911</v>
      </c>
      <c r="E445" s="1" t="n">
        <v>46221</v>
      </c>
      <c r="F445" t="inlineStr">
        <is>
          <t>SKÅNE LÄN</t>
        </is>
      </c>
      <c r="G445" t="inlineStr">
        <is>
          <t>OSBY</t>
        </is>
      </c>
      <c r="I445" t="n">
        <v>15.4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46221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46221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22578-2026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46221</v>
      </c>
      <c r="F448" t="inlineStr">
        <is>
          <t>SKÅNE LÄN</t>
        </is>
      </c>
      <c r="G448" t="inlineStr">
        <is>
          <t>OSBY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6874-2024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46221</v>
      </c>
      <c r="F449" t="inlineStr">
        <is>
          <t>SKÅNE LÄN</t>
        </is>
      </c>
      <c r="G449" t="inlineStr">
        <is>
          <t>OSBY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43930-2025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46221</v>
      </c>
      <c r="F450" t="inlineStr">
        <is>
          <t>SKÅNE LÄN</t>
        </is>
      </c>
      <c r="G450" t="inlineStr">
        <is>
          <t>OSBY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44585</v>
      </c>
      <c r="E451" s="1" t="n">
        <v>46221</v>
      </c>
      <c r="F451" t="inlineStr">
        <is>
          <t>SKÅNE LÄN</t>
        </is>
      </c>
      <c r="G451" t="inlineStr">
        <is>
          <t>OSBY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41322-2021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44424</v>
      </c>
      <c r="E452" s="1" t="n">
        <v>46221</v>
      </c>
      <c r="F452" t="inlineStr">
        <is>
          <t>SKÅNE LÄN</t>
        </is>
      </c>
      <c r="G452" t="inlineStr">
        <is>
          <t>OSBY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46221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44580</v>
      </c>
      <c r="E454" s="1" t="n">
        <v>46221</v>
      </c>
      <c r="F454" t="inlineStr">
        <is>
          <t>SKÅNE LÄN</t>
        </is>
      </c>
      <c r="G454" t="inlineStr">
        <is>
          <t>OSBY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20636-2024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45436</v>
      </c>
      <c r="E455" s="1" t="n">
        <v>46221</v>
      </c>
      <c r="F455" t="inlineStr">
        <is>
          <t>SKÅNE LÄN</t>
        </is>
      </c>
      <c r="G455" t="inlineStr">
        <is>
          <t>OSBY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22670-2026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46221</v>
      </c>
      <c r="F456" t="inlineStr">
        <is>
          <t>SKÅNE LÄN</t>
        </is>
      </c>
      <c r="G456" t="inlineStr">
        <is>
          <t>OSBY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61648-2022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46221</v>
      </c>
      <c r="F457" t="inlineStr">
        <is>
          <t>SKÅNE LÄN</t>
        </is>
      </c>
      <c r="G457" t="inlineStr">
        <is>
          <t>OSBY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46221</v>
      </c>
      <c r="F458" t="inlineStr">
        <is>
          <t>SKÅNE LÄN</t>
        </is>
      </c>
      <c r="G458" t="inlineStr">
        <is>
          <t>OSBY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17228-2024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45414</v>
      </c>
      <c r="E459" s="1" t="n">
        <v>46221</v>
      </c>
      <c r="F459" t="inlineStr">
        <is>
          <t>SKÅNE LÄN</t>
        </is>
      </c>
      <c r="G459" t="inlineStr">
        <is>
          <t>OSBY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46221</v>
      </c>
      <c r="F460" t="inlineStr">
        <is>
          <t>SKÅNE LÄN</t>
        </is>
      </c>
      <c r="G460" t="inlineStr">
        <is>
          <t>OSBY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27378-2022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44742</v>
      </c>
      <c r="E461" s="1" t="n">
        <v>46221</v>
      </c>
      <c r="F461" t="inlineStr">
        <is>
          <t>SKÅNE LÄN</t>
        </is>
      </c>
      <c r="G461" t="inlineStr">
        <is>
          <t>OSBY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45650-2022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44845</v>
      </c>
      <c r="E462" s="1" t="n">
        <v>46221</v>
      </c>
      <c r="F462" t="inlineStr">
        <is>
          <t>SKÅNE LÄN</t>
        </is>
      </c>
      <c r="G462" t="inlineStr">
        <is>
          <t>OSBY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44997</v>
      </c>
      <c r="E463" s="1" t="n">
        <v>46221</v>
      </c>
      <c r="F463" t="inlineStr">
        <is>
          <t>SKÅNE LÄN</t>
        </is>
      </c>
      <c r="G463" t="inlineStr">
        <is>
          <t>OSBY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44430-2024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46221</v>
      </c>
      <c r="F464" t="inlineStr">
        <is>
          <t>SKÅNE LÄN</t>
        </is>
      </c>
      <c r="G464" t="inlineStr">
        <is>
          <t>OSBY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40395-2024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46221</v>
      </c>
      <c r="F465" t="inlineStr">
        <is>
          <t>SKÅNE LÄN</t>
        </is>
      </c>
      <c r="G465" t="inlineStr">
        <is>
          <t>OSBY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46221</v>
      </c>
      <c r="F466" t="inlineStr">
        <is>
          <t>SKÅNE LÄN</t>
        </is>
      </c>
      <c r="G466" t="inlineStr">
        <is>
          <t>OSBY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11555-2022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46221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28926-2026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46221</v>
      </c>
      <c r="F468" t="inlineStr">
        <is>
          <t>SKÅNE LÄN</t>
        </is>
      </c>
      <c r="G468" t="inlineStr">
        <is>
          <t>OSBY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46221</v>
      </c>
      <c r="F469" t="inlineStr">
        <is>
          <t>SKÅNE LÄN</t>
        </is>
      </c>
      <c r="G469" t="inlineStr">
        <is>
          <t>OSBY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29105-2026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46200</v>
      </c>
      <c r="E470" s="1" t="n">
        <v>46221</v>
      </c>
      <c r="F470" t="inlineStr">
        <is>
          <t>SKÅNE LÄN</t>
        </is>
      </c>
      <c r="G470" t="inlineStr">
        <is>
          <t>OSBY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15525-2023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45016</v>
      </c>
      <c r="E471" s="1" t="n">
        <v>46221</v>
      </c>
      <c r="F471" t="inlineStr">
        <is>
          <t>SKÅNE LÄN</t>
        </is>
      </c>
      <c r="G471" t="inlineStr">
        <is>
          <t>OSBY</t>
        </is>
      </c>
      <c r="H471" t="inlineStr">
        <is>
          <t>Naturvårdsverket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46079</v>
      </c>
      <c r="E472" s="1" t="n">
        <v>46221</v>
      </c>
      <c r="F472" t="inlineStr">
        <is>
          <t>SKÅNE LÄN</t>
        </is>
      </c>
      <c r="G472" t="inlineStr">
        <is>
          <t>OSBY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55682-2023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45239</v>
      </c>
      <c r="E473" s="1" t="n">
        <v>46221</v>
      </c>
      <c r="F473" t="inlineStr">
        <is>
          <t>SKÅNE LÄN</t>
        </is>
      </c>
      <c r="G473" t="inlineStr">
        <is>
          <t>OSBY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45341</v>
      </c>
      <c r="E474" s="1" t="n">
        <v>46221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26470-2026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46221</v>
      </c>
      <c r="F475" t="inlineStr">
        <is>
          <t>SKÅNE LÄN</t>
        </is>
      </c>
      <c r="G475" t="inlineStr">
        <is>
          <t>OSBY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20643-2024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46221</v>
      </c>
      <c r="F476" t="inlineStr">
        <is>
          <t>SKÅNE LÄN</t>
        </is>
      </c>
      <c r="G476" t="inlineStr">
        <is>
          <t>OSBY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58337-2021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44487</v>
      </c>
      <c r="E477" s="1" t="n">
        <v>46221</v>
      </c>
      <c r="F477" t="inlineStr">
        <is>
          <t>SKÅNE LÄN</t>
        </is>
      </c>
      <c r="G477" t="inlineStr">
        <is>
          <t>OSBY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45071</v>
      </c>
      <c r="E478" s="1" t="n">
        <v>46221</v>
      </c>
      <c r="F478" t="inlineStr">
        <is>
          <t>SKÅNE LÄN</t>
        </is>
      </c>
      <c r="G478" t="inlineStr">
        <is>
          <t>OSBY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27492-2023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45097</v>
      </c>
      <c r="E479" s="1" t="n">
        <v>46221</v>
      </c>
      <c r="F479" t="inlineStr">
        <is>
          <t>SKÅNE LÄN</t>
        </is>
      </c>
      <c r="G479" t="inlineStr">
        <is>
          <t>OSBY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22029-2022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44711</v>
      </c>
      <c r="E480" s="1" t="n">
        <v>46221</v>
      </c>
      <c r="F480" t="inlineStr">
        <is>
          <t>SKÅNE LÄN</t>
        </is>
      </c>
      <c r="G480" t="inlineStr">
        <is>
          <t>OSBY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64897-2023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45282</v>
      </c>
      <c r="E481" s="1" t="n">
        <v>46221</v>
      </c>
      <c r="F481" t="inlineStr">
        <is>
          <t>SKÅNE LÄN</t>
        </is>
      </c>
      <c r="G481" t="inlineStr">
        <is>
          <t>OSBY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58154-2024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45632</v>
      </c>
      <c r="E482" s="1" t="n">
        <v>46221</v>
      </c>
      <c r="F482" t="inlineStr">
        <is>
          <t>SKÅNE LÄN</t>
        </is>
      </c>
      <c r="G482" t="inlineStr">
        <is>
          <t>OSBY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29999-2026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46221</v>
      </c>
      <c r="F483" t="inlineStr">
        <is>
          <t>SKÅNE LÄN</t>
        </is>
      </c>
      <c r="G483" t="inlineStr">
        <is>
          <t>OSBY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56443-2023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46221</v>
      </c>
      <c r="F484" t="inlineStr">
        <is>
          <t>SKÅNE LÄN</t>
        </is>
      </c>
      <c r="G484" t="inlineStr">
        <is>
          <t>OSBY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50738-2023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46221</v>
      </c>
      <c r="F485" t="inlineStr">
        <is>
          <t>SKÅNE LÄN</t>
        </is>
      </c>
      <c r="G485" t="inlineStr">
        <is>
          <t>OSBY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24232-2023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45079</v>
      </c>
      <c r="E486" s="1" t="n">
        <v>46221</v>
      </c>
      <c r="F486" t="inlineStr">
        <is>
          <t>SKÅNE LÄN</t>
        </is>
      </c>
      <c r="G486" t="inlineStr">
        <is>
          <t>OSBY</t>
        </is>
      </c>
      <c r="H486" t="inlineStr">
        <is>
          <t>Kommuner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14308-2023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45011</v>
      </c>
      <c r="E487" s="1" t="n">
        <v>46221</v>
      </c>
      <c r="F487" t="inlineStr">
        <is>
          <t>SKÅNE LÄN</t>
        </is>
      </c>
      <c r="G487" t="inlineStr">
        <is>
          <t>OSBY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55292-2023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45237</v>
      </c>
      <c r="E488" s="1" t="n">
        <v>46221</v>
      </c>
      <c r="F488" t="inlineStr">
        <is>
          <t>SKÅNE LÄN</t>
        </is>
      </c>
      <c r="G488" t="inlineStr">
        <is>
          <t>OSBY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17824-2023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45037</v>
      </c>
      <c r="E489" s="1" t="n">
        <v>46221</v>
      </c>
      <c r="F489" t="inlineStr">
        <is>
          <t>SKÅNE LÄN</t>
        </is>
      </c>
      <c r="G489" t="inlineStr">
        <is>
          <t>OSBY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38486-2024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45546</v>
      </c>
      <c r="E490" s="1" t="n">
        <v>46221</v>
      </c>
      <c r="F490" t="inlineStr">
        <is>
          <t>SKÅNE LÄN</t>
        </is>
      </c>
      <c r="G490" t="inlineStr">
        <is>
          <t>OSBY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27758-2022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44743</v>
      </c>
      <c r="E491" s="1" t="n">
        <v>46221</v>
      </c>
      <c r="F491" t="inlineStr">
        <is>
          <t>SKÅNE LÄN</t>
        </is>
      </c>
      <c r="G491" t="inlineStr">
        <is>
          <t>OSBY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11808-2024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45375</v>
      </c>
      <c r="E492" s="1" t="n">
        <v>46221</v>
      </c>
      <c r="F492" t="inlineStr">
        <is>
          <t>SKÅNE LÄN</t>
        </is>
      </c>
      <c r="G492" t="inlineStr">
        <is>
          <t>OSBY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59253-2022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44904</v>
      </c>
      <c r="E493" s="1" t="n">
        <v>46221</v>
      </c>
      <c r="F493" t="inlineStr">
        <is>
          <t>SKÅNE LÄN</t>
        </is>
      </c>
      <c r="G493" t="inlineStr">
        <is>
          <t>OSBY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17616-2023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46221</v>
      </c>
      <c r="F494" t="inlineStr">
        <is>
          <t>SKÅNE LÄN</t>
        </is>
      </c>
      <c r="G494" t="inlineStr">
        <is>
          <t>OSBY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23234-2024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46221</v>
      </c>
      <c r="F495" t="inlineStr">
        <is>
          <t>SKÅNE LÄN</t>
        </is>
      </c>
      <c r="G495" t="inlineStr">
        <is>
          <t>OSBY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5262-2022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44594</v>
      </c>
      <c r="E496" s="1" t="n">
        <v>46221</v>
      </c>
      <c r="F496" t="inlineStr">
        <is>
          <t>SKÅNE LÄN</t>
        </is>
      </c>
      <c r="G496" t="inlineStr">
        <is>
          <t>OSBY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32584-2022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44783</v>
      </c>
      <c r="E497" s="1" t="n">
        <v>46221</v>
      </c>
      <c r="F497" t="inlineStr">
        <is>
          <t>SKÅNE LÄN</t>
        </is>
      </c>
      <c r="G497" t="inlineStr">
        <is>
          <t>OSBY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44429-2024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45573</v>
      </c>
      <c r="E498" s="1" t="n">
        <v>46221</v>
      </c>
      <c r="F498" t="inlineStr">
        <is>
          <t>SKÅNE LÄN</t>
        </is>
      </c>
      <c r="G498" t="inlineStr">
        <is>
          <t>OSBY</t>
        </is>
      </c>
      <c r="I498" t="n">
        <v>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30550-2026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46221</v>
      </c>
      <c r="F499" t="inlineStr">
        <is>
          <t>SKÅNE LÄN</t>
        </is>
      </c>
      <c r="G499" t="inlineStr">
        <is>
          <t>OSBY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48132-2024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45589</v>
      </c>
      <c r="E500" s="1" t="n">
        <v>46221</v>
      </c>
      <c r="F500" t="inlineStr">
        <is>
          <t>SKÅNE LÄN</t>
        </is>
      </c>
      <c r="G500" t="inlineStr">
        <is>
          <t>OSBY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48137-2024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45589</v>
      </c>
      <c r="E501" s="1" t="n">
        <v>46221</v>
      </c>
      <c r="F501" t="inlineStr">
        <is>
          <t>SKÅNE LÄN</t>
        </is>
      </c>
      <c r="G501" t="inlineStr">
        <is>
          <t>OSBY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10967-2024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46221</v>
      </c>
      <c r="F502" t="inlineStr">
        <is>
          <t>SKÅNE LÄN</t>
        </is>
      </c>
      <c r="G502" t="inlineStr">
        <is>
          <t>OSBY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32001-2023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46221</v>
      </c>
      <c r="F503" t="inlineStr">
        <is>
          <t>SKÅNE LÄN</t>
        </is>
      </c>
      <c r="G503" t="inlineStr">
        <is>
          <t>OSBY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30560-2026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46221</v>
      </c>
      <c r="F504" t="inlineStr">
        <is>
          <t>SKÅNE LÄN</t>
        </is>
      </c>
      <c r="G504" t="inlineStr">
        <is>
          <t>OSBY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30936-2026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46221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24538-2026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46221</v>
      </c>
      <c r="F506" t="inlineStr">
        <is>
          <t>SKÅNE LÄN</t>
        </is>
      </c>
      <c r="G506" t="inlineStr">
        <is>
          <t>OSBY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59257-2022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46221</v>
      </c>
      <c r="F507" t="inlineStr">
        <is>
          <t>SKÅNE LÄN</t>
        </is>
      </c>
      <c r="G507" t="inlineStr">
        <is>
          <t>OSBY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45683</v>
      </c>
      <c r="E508" s="1" t="n">
        <v>46221</v>
      </c>
      <c r="F508" t="inlineStr">
        <is>
          <t>SKÅNE LÄN</t>
        </is>
      </c>
      <c r="G508" t="inlineStr">
        <is>
          <t>OSBY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34934-2023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46221</v>
      </c>
      <c r="F509" t="inlineStr">
        <is>
          <t>SKÅNE LÄN</t>
        </is>
      </c>
      <c r="G509" t="inlineStr">
        <is>
          <t>OSBY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29291-2023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45105</v>
      </c>
      <c r="E510" s="1" t="n">
        <v>46221</v>
      </c>
      <c r="F510" t="inlineStr">
        <is>
          <t>SKÅNE LÄN</t>
        </is>
      </c>
      <c r="G510" t="inlineStr">
        <is>
          <t>OSBY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24550-2026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46221</v>
      </c>
      <c r="F511" t="inlineStr">
        <is>
          <t>SKÅNE LÄN</t>
        </is>
      </c>
      <c r="G511" t="inlineStr">
        <is>
          <t>OSBY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8438-2024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45353</v>
      </c>
      <c r="E512" s="1" t="n">
        <v>46221</v>
      </c>
      <c r="F512" t="inlineStr">
        <is>
          <t>SKÅNE LÄN</t>
        </is>
      </c>
      <c r="G512" t="inlineStr">
        <is>
          <t>OSBY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21881-2024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45443</v>
      </c>
      <c r="E513" s="1" t="n">
        <v>46221</v>
      </c>
      <c r="F513" t="inlineStr">
        <is>
          <t>SKÅNE LÄN</t>
        </is>
      </c>
      <c r="G513" t="inlineStr">
        <is>
          <t>OSBY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30972-2026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46221</v>
      </c>
      <c r="F514" t="inlineStr">
        <is>
          <t>SKÅNE LÄN</t>
        </is>
      </c>
      <c r="G514" t="inlineStr">
        <is>
          <t>OSBY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25149-2026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46175</v>
      </c>
      <c r="E515" s="1" t="n">
        <v>46221</v>
      </c>
      <c r="F515" t="inlineStr">
        <is>
          <t>SKÅNE LÄN</t>
        </is>
      </c>
      <c r="G515" t="inlineStr">
        <is>
          <t>OSBY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36571-2024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45537</v>
      </c>
      <c r="E516" s="1" t="n">
        <v>46221</v>
      </c>
      <c r="F516" t="inlineStr">
        <is>
          <t>SKÅNE LÄN</t>
        </is>
      </c>
      <c r="G516" t="inlineStr">
        <is>
          <t>OSBY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21524-2023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45063</v>
      </c>
      <c r="E517" s="1" t="n">
        <v>46221</v>
      </c>
      <c r="F517" t="inlineStr">
        <is>
          <t>SKÅNE LÄN</t>
        </is>
      </c>
      <c r="G517" t="inlineStr">
        <is>
          <t>OSBY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63297-2023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45273</v>
      </c>
      <c r="E518" s="1" t="n">
        <v>46221</v>
      </c>
      <c r="F518" t="inlineStr">
        <is>
          <t>SKÅNE LÄN</t>
        </is>
      </c>
      <c r="G518" t="inlineStr">
        <is>
          <t>OSBY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46221</v>
      </c>
      <c r="F519" t="inlineStr">
        <is>
          <t>SKÅNE LÄN</t>
        </is>
      </c>
      <c r="G519" t="inlineStr">
        <is>
          <t>OSBY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25397-2026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46176</v>
      </c>
      <c r="E520" s="1" t="n">
        <v>46221</v>
      </c>
      <c r="F520" t="inlineStr">
        <is>
          <t>SKÅNE LÄN</t>
        </is>
      </c>
      <c r="G520" t="inlineStr">
        <is>
          <t>OSBY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56998-2024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45628</v>
      </c>
      <c r="E521" s="1" t="n">
        <v>46221</v>
      </c>
      <c r="F521" t="inlineStr">
        <is>
          <t>SKÅNE LÄN</t>
        </is>
      </c>
      <c r="G521" t="inlineStr">
        <is>
          <t>OSBY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61711-2024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45648</v>
      </c>
      <c r="E522" s="1" t="n">
        <v>46221</v>
      </c>
      <c r="F522" t="inlineStr">
        <is>
          <t>SKÅNE LÄN</t>
        </is>
      </c>
      <c r="G522" t="inlineStr">
        <is>
          <t>OSBY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10191-2026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46221</v>
      </c>
      <c r="F523" t="inlineStr">
        <is>
          <t>SKÅNE LÄN</t>
        </is>
      </c>
      <c r="G523" t="inlineStr">
        <is>
          <t>OSBY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25392-2026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46176</v>
      </c>
      <c r="E524" s="1" t="n">
        <v>46221</v>
      </c>
      <c r="F524" t="inlineStr">
        <is>
          <t>SKÅNE LÄN</t>
        </is>
      </c>
      <c r="G524" t="inlineStr">
        <is>
          <t>OSBY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16838-2023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45033</v>
      </c>
      <c r="E525" s="1" t="n">
        <v>46221</v>
      </c>
      <c r="F525" t="inlineStr">
        <is>
          <t>SKÅNE LÄN</t>
        </is>
      </c>
      <c r="G525" t="inlineStr">
        <is>
          <t>OSBY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54009-2023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46221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36951-2023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45154</v>
      </c>
      <c r="E527" s="1" t="n">
        <v>46221</v>
      </c>
      <c r="F527" t="inlineStr">
        <is>
          <t>SKÅNE LÄN</t>
        </is>
      </c>
      <c r="G527" t="inlineStr">
        <is>
          <t>OSBY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23476-2024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45453</v>
      </c>
      <c r="E528" s="1" t="n">
        <v>46221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58761-2022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44903</v>
      </c>
      <c r="E529" s="1" t="n">
        <v>46221</v>
      </c>
      <c r="F529" t="inlineStr">
        <is>
          <t>SKÅNE LÄN</t>
        </is>
      </c>
      <c r="G529" t="inlineStr">
        <is>
          <t>OSBY</t>
        </is>
      </c>
      <c r="H529" t="inlineStr">
        <is>
          <t>Kommuner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44957</v>
      </c>
      <c r="E530" s="1" t="n">
        <v>46221</v>
      </c>
      <c r="F530" t="inlineStr">
        <is>
          <t>SKÅNE LÄN</t>
        </is>
      </c>
      <c r="G530" t="inlineStr">
        <is>
          <t>OSBY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21222-2023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46221</v>
      </c>
      <c r="F531" t="inlineStr">
        <is>
          <t>SKÅNE LÄN</t>
        </is>
      </c>
      <c r="G531" t="inlineStr">
        <is>
          <t>OSBY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48513-2023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45208</v>
      </c>
      <c r="E532" s="1" t="n">
        <v>46221</v>
      </c>
      <c r="F532" t="inlineStr">
        <is>
          <t>SKÅNE LÄN</t>
        </is>
      </c>
      <c r="G532" t="inlineStr">
        <is>
          <t>OSBY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4011-2024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45323</v>
      </c>
      <c r="E533" s="1" t="n">
        <v>46221</v>
      </c>
      <c r="F533" t="inlineStr">
        <is>
          <t>SKÅNE LÄN</t>
        </is>
      </c>
      <c r="G533" t="inlineStr">
        <is>
          <t>OSBY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9801-2024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45362</v>
      </c>
      <c r="E534" s="1" t="n">
        <v>46221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37358-2024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46221</v>
      </c>
      <c r="F535" t="inlineStr">
        <is>
          <t>SKÅNE LÄN</t>
        </is>
      </c>
      <c r="G535" t="inlineStr">
        <is>
          <t>OSBY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4363-2025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46221</v>
      </c>
      <c r="F536" t="inlineStr">
        <is>
          <t>SKÅNE LÄN</t>
        </is>
      </c>
      <c r="G536" t="inlineStr">
        <is>
          <t>OSBY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26780-2023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45093</v>
      </c>
      <c r="E537" s="1" t="n">
        <v>46221</v>
      </c>
      <c r="F537" t="inlineStr">
        <is>
          <t>SKÅNE LÄN</t>
        </is>
      </c>
      <c r="G537" t="inlineStr">
        <is>
          <t>OSBY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31639-2024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45506</v>
      </c>
      <c r="E538" s="1" t="n">
        <v>46221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15653-2024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45404</v>
      </c>
      <c r="E539" s="1" t="n">
        <v>46221</v>
      </c>
      <c r="F539" t="inlineStr">
        <is>
          <t>SKÅNE LÄN</t>
        </is>
      </c>
      <c r="G539" t="inlineStr">
        <is>
          <t>OSBY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20894-2025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46221</v>
      </c>
      <c r="F540" t="inlineStr">
        <is>
          <t>SKÅNE LÄN</t>
        </is>
      </c>
      <c r="G540" t="inlineStr">
        <is>
          <t>OSBY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21570-2025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46221</v>
      </c>
      <c r="F541" t="inlineStr">
        <is>
          <t>SKÅNE LÄN</t>
        </is>
      </c>
      <c r="G541" t="inlineStr">
        <is>
          <t>OSBY</t>
        </is>
      </c>
      <c r="I541" t="n">
        <v>15.1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33254-2024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46221</v>
      </c>
      <c r="F542" t="inlineStr">
        <is>
          <t>SKÅNE LÄN</t>
        </is>
      </c>
      <c r="G542" t="inlineStr">
        <is>
          <t>OSBY</t>
        </is>
      </c>
      <c r="H542" t="inlineStr">
        <is>
          <t>Naturvårdsverket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7211-2025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46221</v>
      </c>
      <c r="F543" t="inlineStr">
        <is>
          <t>SKÅNE LÄN</t>
        </is>
      </c>
      <c r="G543" t="inlineStr">
        <is>
          <t>OSBY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10673-2025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46221</v>
      </c>
      <c r="F544" t="inlineStr">
        <is>
          <t>SKÅNE LÄN</t>
        </is>
      </c>
      <c r="G544" t="inlineStr">
        <is>
          <t>OSBY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27514-2024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46221</v>
      </c>
      <c r="F545" t="inlineStr">
        <is>
          <t>SKÅNE LÄN</t>
        </is>
      </c>
      <c r="G545" t="inlineStr">
        <is>
          <t>OSBY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57710-2024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46221</v>
      </c>
      <c r="F546" t="inlineStr">
        <is>
          <t>SKÅNE LÄN</t>
        </is>
      </c>
      <c r="G546" t="inlineStr">
        <is>
          <t>OSBY</t>
        </is>
      </c>
      <c r="I546" t="n">
        <v>9.5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9987-2025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45719</v>
      </c>
      <c r="E547" s="1" t="n">
        <v>46221</v>
      </c>
      <c r="F547" t="inlineStr">
        <is>
          <t>SKÅNE LÄN</t>
        </is>
      </c>
      <c r="G547" t="inlineStr">
        <is>
          <t>OSBY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46221</v>
      </c>
      <c r="F548" t="inlineStr">
        <is>
          <t>SKÅNE LÄN</t>
        </is>
      </c>
      <c r="G548" t="inlineStr">
        <is>
          <t>OSBY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13959-2025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46221</v>
      </c>
      <c r="F549" t="inlineStr">
        <is>
          <t>SKÅNE LÄN</t>
        </is>
      </c>
      <c r="G549" t="inlineStr">
        <is>
          <t>OSBY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41557-2022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44827</v>
      </c>
      <c r="E550" s="1" t="n">
        <v>46221</v>
      </c>
      <c r="F550" t="inlineStr">
        <is>
          <t>SKÅNE LÄN</t>
        </is>
      </c>
      <c r="G550" t="inlineStr">
        <is>
          <t>OSBY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8838-2024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46221</v>
      </c>
      <c r="F551" t="inlineStr">
        <is>
          <t>SKÅNE LÄN</t>
        </is>
      </c>
      <c r="G551" t="inlineStr">
        <is>
          <t>OSBY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8207-2025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46221</v>
      </c>
      <c r="F552" t="inlineStr">
        <is>
          <t>SKÅNE LÄN</t>
        </is>
      </c>
      <c r="G552" t="inlineStr">
        <is>
          <t>OSBY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20813-2023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45055</v>
      </c>
      <c r="E553" s="1" t="n">
        <v>46221</v>
      </c>
      <c r="F553" t="inlineStr">
        <is>
          <t>SKÅNE LÄN</t>
        </is>
      </c>
      <c r="G553" t="inlineStr">
        <is>
          <t>OSBY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40035-2024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45553</v>
      </c>
      <c r="E554" s="1" t="n">
        <v>46221</v>
      </c>
      <c r="F554" t="inlineStr">
        <is>
          <t>SKÅNE LÄN</t>
        </is>
      </c>
      <c r="G554" t="inlineStr">
        <is>
          <t>OSBY</t>
        </is>
      </c>
      <c r="H554" t="inlineStr">
        <is>
          <t>Kommuner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26988-2024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45471</v>
      </c>
      <c r="E555" s="1" t="n">
        <v>46221</v>
      </c>
      <c r="F555" t="inlineStr">
        <is>
          <t>SKÅNE LÄN</t>
        </is>
      </c>
      <c r="G555" t="inlineStr">
        <is>
          <t>OSBY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46221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1439-2022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44635</v>
      </c>
      <c r="E557" s="1" t="n">
        <v>46221</v>
      </c>
      <c r="F557" t="inlineStr">
        <is>
          <t>SKÅNE LÄN</t>
        </is>
      </c>
      <c r="G557" t="inlineStr">
        <is>
          <t>OSBY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3083-2022</t>
        </is>
      </c>
      <c r="B558" t="inlineStr">
        <is>
          <t>samrådsanmälan</t>
        </is>
      </c>
      <c r="C558" t="inlineStr">
        <is>
          <t>Åtgärd i nyckelbiotop</t>
        </is>
      </c>
      <c r="D558" s="1" t="n">
        <v>44719</v>
      </c>
      <c r="E558" s="1" t="n">
        <v>46221</v>
      </c>
      <c r="F558" t="inlineStr">
        <is>
          <t>SKÅNE LÄN</t>
        </is>
      </c>
      <c r="G558" t="inlineStr">
        <is>
          <t>OSBY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44622</v>
      </c>
      <c r="E559" s="1" t="n">
        <v>46221</v>
      </c>
      <c r="F559" t="inlineStr">
        <is>
          <t>SKÅNE LÄN</t>
        </is>
      </c>
      <c r="G559" t="inlineStr">
        <is>
          <t>OSBY</t>
        </is>
      </c>
      <c r="I559" t="n">
        <v>18.1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3844-2024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45560</v>
      </c>
      <c r="E560" s="1" t="n">
        <v>46221</v>
      </c>
      <c r="F560" t="inlineStr">
        <is>
          <t>SKÅNE LÄN</t>
        </is>
      </c>
      <c r="G560" t="inlineStr">
        <is>
          <t>OSBY</t>
        </is>
      </c>
      <c r="I560" t="n">
        <v>16.1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131-2023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44938</v>
      </c>
      <c r="E561" s="1" t="n">
        <v>46221</v>
      </c>
      <c r="F561" t="inlineStr">
        <is>
          <t>SKÅNE LÄN</t>
        </is>
      </c>
      <c r="G561" t="inlineStr">
        <is>
          <t>OSBY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2563-2024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46221</v>
      </c>
      <c r="F562" t="inlineStr">
        <is>
          <t>SKÅNE LÄN</t>
        </is>
      </c>
      <c r="G562" t="inlineStr">
        <is>
          <t>OSBY</t>
        </is>
      </c>
      <c r="I562" t="n">
        <v>14.2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5546-2022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44837</v>
      </c>
      <c r="E563" s="1" t="n">
        <v>46221</v>
      </c>
      <c r="F563" t="inlineStr">
        <is>
          <t>SKÅNE LÄN</t>
        </is>
      </c>
      <c r="G563" t="inlineStr">
        <is>
          <t>OSBY</t>
        </is>
      </c>
      <c r="I563" t="n">
        <v>20.9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4342-2023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45264</v>
      </c>
      <c r="E564" s="1" t="n">
        <v>46221</v>
      </c>
      <c r="F564" t="inlineStr">
        <is>
          <t>SKÅNE LÄN</t>
        </is>
      </c>
      <c r="G564" t="inlineStr">
        <is>
          <t>OSBY</t>
        </is>
      </c>
      <c r="I564" t="n">
        <v>21.2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1261-2024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45400</v>
      </c>
      <c r="E565" s="1" t="n">
        <v>46221</v>
      </c>
      <c r="F565" t="inlineStr">
        <is>
          <t>SKÅNE LÄN</t>
        </is>
      </c>
      <c r="G565" t="inlineStr">
        <is>
          <t>OSBY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731-2024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45365</v>
      </c>
      <c r="E566" s="1" t="n">
        <v>46221</v>
      </c>
      <c r="F566" t="inlineStr">
        <is>
          <t>SKÅNE LÄN</t>
        </is>
      </c>
      <c r="G566" t="inlineStr">
        <is>
          <t>OSBY</t>
        </is>
      </c>
      <c r="I566" t="n">
        <v>15.3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4466-2023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45272</v>
      </c>
      <c r="E567" s="1" t="n">
        <v>46221</v>
      </c>
      <c r="F567" t="inlineStr">
        <is>
          <t>SKÅNE LÄN</t>
        </is>
      </c>
      <c r="G567" t="inlineStr">
        <is>
          <t>OSBY</t>
        </is>
      </c>
      <c r="I567" t="n">
        <v>28.5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4916-2024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45622</v>
      </c>
      <c r="E568" s="1" t="n">
        <v>46221</v>
      </c>
      <c r="F568" t="inlineStr">
        <is>
          <t>SKÅNE LÄN</t>
        </is>
      </c>
      <c r="G568" t="inlineStr">
        <is>
          <t>OSBY</t>
        </is>
      </c>
      <c r="I568" t="n">
        <v>30.9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4775-2022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46221</v>
      </c>
      <c r="F569" t="inlineStr">
        <is>
          <t>SKÅNE LÄN</t>
        </is>
      </c>
      <c r="G569" t="inlineStr">
        <is>
          <t>OSBY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4776-2022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46221</v>
      </c>
      <c r="F570" t="inlineStr">
        <is>
          <t>SKÅNE LÄN</t>
        </is>
      </c>
      <c r="G570" t="inlineStr">
        <is>
          <t>OSBY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5209-2022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44820</v>
      </c>
      <c r="E571" s="1" t="n">
        <v>46221</v>
      </c>
      <c r="F571" t="inlineStr">
        <is>
          <t>SKÅNE LÄN</t>
        </is>
      </c>
      <c r="G571" t="inlineStr">
        <is>
          <t>OSBY</t>
        </is>
      </c>
      <c r="I571" t="n">
        <v>55.8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3116-2023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45182</v>
      </c>
      <c r="E572" s="1" t="n">
        <v>46221</v>
      </c>
      <c r="F572" t="inlineStr">
        <is>
          <t>SKÅNE LÄN</t>
        </is>
      </c>
      <c r="G572" t="inlineStr">
        <is>
          <t>OSBY</t>
        </is>
      </c>
      <c r="I572" t="n">
        <v>35.3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4901-2022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44806</v>
      </c>
      <c r="E573" s="1" t="n">
        <v>46221</v>
      </c>
      <c r="F573" t="inlineStr">
        <is>
          <t>SKÅNE LÄN</t>
        </is>
      </c>
      <c r="G573" t="inlineStr">
        <is>
          <t>OSBY</t>
        </is>
      </c>
      <c r="I573" t="n">
        <v>18.5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2068-2024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45453</v>
      </c>
      <c r="E574" s="1" t="n">
        <v>46221</v>
      </c>
      <c r="F574" t="inlineStr">
        <is>
          <t>SKÅNE LÄN</t>
        </is>
      </c>
      <c r="G574" t="inlineStr">
        <is>
          <t>OSBY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44952</v>
      </c>
      <c r="E575" s="1" t="n">
        <v>46221</v>
      </c>
      <c r="F575" t="inlineStr">
        <is>
          <t>SKÅNE LÄN</t>
        </is>
      </c>
      <c r="G575" t="inlineStr">
        <is>
          <t>OSBY</t>
        </is>
      </c>
      <c r="I575" t="n">
        <v>23.5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7874-2021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44482</v>
      </c>
      <c r="E576" s="1" t="n">
        <v>46221</v>
      </c>
      <c r="F576" t="inlineStr">
        <is>
          <t>SKÅNE LÄN</t>
        </is>
      </c>
      <c r="G576" t="inlineStr">
        <is>
          <t>OSBY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2418-2023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45124</v>
      </c>
      <c r="E577" s="1" t="n">
        <v>46221</v>
      </c>
      <c r="F577" t="inlineStr">
        <is>
          <t>SKÅNE LÄN</t>
        </is>
      </c>
      <c r="G577" t="inlineStr">
        <is>
          <t>OSBY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566-2024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45350</v>
      </c>
      <c r="E578" s="1" t="n">
        <v>46221</v>
      </c>
      <c r="F578" t="inlineStr">
        <is>
          <t>SKÅNE LÄN</t>
        </is>
      </c>
      <c r="G578" t="inlineStr">
        <is>
          <t>OSBY</t>
        </is>
      </c>
      <c r="I578" t="n">
        <v>17.2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798-2024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45370</v>
      </c>
      <c r="E579" s="1" t="n">
        <v>46221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4005-2021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44384</v>
      </c>
      <c r="E580" s="1" t="n">
        <v>46221</v>
      </c>
      <c r="F580" t="inlineStr">
        <is>
          <t>SKÅNE LÄN</t>
        </is>
      </c>
      <c r="G580" t="inlineStr">
        <is>
          <t>OSBY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847-2024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45373</v>
      </c>
      <c r="E581" s="1" t="n">
        <v>46221</v>
      </c>
      <c r="F581" t="inlineStr">
        <is>
          <t>SKÅNE LÄN</t>
        </is>
      </c>
      <c r="G581" t="inlineStr">
        <is>
          <t>OSBY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4768-2022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44802</v>
      </c>
      <c r="E582" s="1" t="n">
        <v>46221</v>
      </c>
      <c r="F582" t="inlineStr">
        <is>
          <t>SKÅNE LÄN</t>
        </is>
      </c>
      <c r="G582" t="inlineStr">
        <is>
          <t>OSBY</t>
        </is>
      </c>
      <c r="I582" t="n">
        <v>15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46221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129-2023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44938</v>
      </c>
      <c r="E584" s="1" t="n">
        <v>46221</v>
      </c>
      <c r="F584" t="inlineStr">
        <is>
          <t>SKÅNE LÄN</t>
        </is>
      </c>
      <c r="G584" t="inlineStr">
        <is>
          <t>OSBY</t>
        </is>
      </c>
      <c r="I584" t="n">
        <v>29.6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3280-2023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45194</v>
      </c>
      <c r="E585" s="1" t="n">
        <v>46221</v>
      </c>
      <c r="F585" t="inlineStr">
        <is>
          <t>SKÅNE LÄN</t>
        </is>
      </c>
      <c r="G585" t="inlineStr">
        <is>
          <t>OSBY</t>
        </is>
      </c>
      <c r="I585" t="n">
        <v>14.8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4864-2022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44805</v>
      </c>
      <c r="E586" s="1" t="n">
        <v>46221</v>
      </c>
      <c r="F586" t="inlineStr">
        <is>
          <t>SKÅNE LÄN</t>
        </is>
      </c>
      <c r="G586" t="inlineStr">
        <is>
          <t>OSBY</t>
        </is>
      </c>
      <c r="I586" t="n">
        <v>22.1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6862-2022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44896</v>
      </c>
      <c r="E587" s="1" t="n">
        <v>46221</v>
      </c>
      <c r="F587" t="inlineStr">
        <is>
          <t>SKÅNE LÄN</t>
        </is>
      </c>
      <c r="G587" t="inlineStr">
        <is>
          <t>OSBY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46221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46221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46221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46221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46221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46221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46221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46221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46221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46221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46221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2026-07-18T01:22:51Z</dcterms:created>
  <dcterms:modified xmlns:dcterms="http://purl.org/dc/terms/" xmlns:xsi="http://www.w3.org/2001/XMLSchema-instance" xsi:type="dcterms:W3CDTF">2026-07-18T01:22:51Z</dcterms:modified>
</cp:coreProperties>
</file>